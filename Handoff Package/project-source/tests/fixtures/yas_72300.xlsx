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/>
  </mc:AlternateContent>
  <xr:revisionPtr revIDLastSave="22" documentId="13_ncr:1_{88A76DCD-878F-4131-B401-A3B4833F9A8B}" xr6:coauthVersionLast="36" xr6:coauthVersionMax="47" xr10:uidLastSave="{96E76EBD-1E29-4043-BB2A-2EFFDCAECF04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<sst xmlns="http://schemas.openxmlformats.org/spreadsheetml/2006/main" count="296" uniqueCount="120">
  <si>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</si>
  <si>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</si>
  <si>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</si>
  <si>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</si>
  <si>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</si>
  <si>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</si>
  <si>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</si>
  <si>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</si>
  <si>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</si>
  <si>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</si>
  <si>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</si>
  <si>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</si>
  <si>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</si>
  <si>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</si>
  <si>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</si>
  <si>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</si>
  <si>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</si>
  <si>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</si>
  <si>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</si>
  <si>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</si>
  <si>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</si>
  <si>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</si>
  <si>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</si>
  <si>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</si>
  <si>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</si>
  <si>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</si>
  <si>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</si>
  <si>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</si>
  <si>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</si>
  <si>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</si>
  <si>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</si>
  <si>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</si>
  <si>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</si>
  <si>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</si>
  <si>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</si>
  <si>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</si>
  <si>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</si>
  <si>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</si>
  <si>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</si>
  <si>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</si>
  <si>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</si>
  <si>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</si>
  <si>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</si>
  <si>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</si>
  <si>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</si>
  <si>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</si>
  <si>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</si>
  <si>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</si>
  <si>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</si>
  <si>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</si>
  <si>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</si>
  <si>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</si>
  <si>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</si>
  <si>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</si>
  <si>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</si>
  <si>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</si>
  <si>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</si>
  <si>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</si>
  <si>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</si>
  <si>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</si>
  <si>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</si>
  <si>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</si>
  <si>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</si>
  <si>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</si>
  <si>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</si>
  <si>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</si>
  <si>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</si>
  <si>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</si>
  <si>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</si>
  <si>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</si>
  <si>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</si>
  <si>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</si>
  <si>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</si>
  <si>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</si>
  <si>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</si>
  <si>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</si>
  <si>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</si>
  <si>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</si>
  <si>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</si>
  <si>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</si>
  <si>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</si>
  <si>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</si>
  <si>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</si>
  <si>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</si>
  <si>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</si>
  <si>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</si>
  <si>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</si>
  <si>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</si>
  <si>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</si>
  <si>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</si>
  <si>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</si>
  <si>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</si>
  <si>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</si>
  <si>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</si>
  <si>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</si>
  <si>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</si>
  <si>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</si>
  <si>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</si>
  <si>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</si>
  <si>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</si>
  <si>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</si>
  <si>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</si>
  <si>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</si>
  <si>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</si>
  <si>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</si>
  <si>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</si>
  <si>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</si>
  <si>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</si>
  <si>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</si>
  <si>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</si>
  <si>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Zipper</t>
  </si>
  <si>
    <t>YAS26XWEWYF72300</t>
  </si>
  <si>
    <t>MOP Buttons</t>
  </si>
  <si>
    <t>MOP Buttons 16L</t>
  </si>
  <si>
    <t>cm+callor+cuff+kaz button</t>
  </si>
  <si>
    <t>2/40x20/62x42</t>
  </si>
  <si>
    <t>52"</t>
  </si>
  <si>
    <t xml:space="preserve">Cotton flex all over print </t>
  </si>
  <si>
    <t xml:space="preserve">B0 - </t>
  </si>
  <si>
    <t xml:space="preserve">L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</si>
</sst>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197470</xdr:colOff>
      <xdr:row>13</xdr:row>
      <xdr:rowOff>46463</xdr:rowOff>
    </xdr:from>
    <xdr:to>
      <xdr:col>0</xdr:col>
      <xdr:colOff>2485793</xdr:colOff>
      <xdr:row>24</xdr:row>
      <xdr:rowOff>117603</xdr:rowOff>
    </xdr:to>
    <xdr:pic>
      <xdr:nvPicPr>
        <xdr:cNvPr id="3" name="Picture 2" descr="A black and white dress with a pattern&#10;&#10;AI-generated content may be incorrect.">
          <a:extLst>
            <a:ext uri="{FF2B5EF4-FFF2-40B4-BE49-F238E27FC236}">
              <a16:creationId xmlns:a16="http://schemas.microsoft.com/office/drawing/2014/main" id="{ED253777-190D-49DD-93E9-4BF6DC98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7470" y="2462561"/>
          <a:ext cx="2288323" cy="2115530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A2" sqref="A2"/>
    </sheetView>
  </sheetViews>
  <sheetFormatPr defaultColWidth="14.453125" defaultRowHeight="15" customHeight="1" x14ac:dyDescent="0.35"/>
  <cols>
    <col min="1" max="1" width="40.1796875" customWidth="1"/>
    <col min="2" max="2" width="33.7265625" customWidth="1"/>
    <col min="3" max="3" width="24.26953125" customWidth="1"/>
    <col min="4" max="4" width="21.1796875" customWidth="1"/>
    <col min="5" max="5" width="49.54296875" customWidth="1"/>
    <col min="6" max="6" width="8.7265625" customWidth="1"/>
    <col min="7" max="7" width="9" customWidth="1"/>
    <col min="8" max="8" width="6.453125" customWidth="1"/>
    <col min="9" max="9" width="5.7265625" customWidth="1"/>
    <col min="10" max="10" width="6.7265625" customWidth="1"/>
    <col min="11" max="11" width="17.1796875" customWidth="1"/>
    <col min="12" max="12" width="14.453125" customWidth="1"/>
    <col min="13" max="13" width="12.453125" customWidth="1"/>
    <col min="14" max="14" width="5.26953125" customWidth="1"/>
    <col min="15" max="15" width="12.453125" customWidth="1"/>
    <col min="16" max="16" width="7.26953125" customWidth="1"/>
    <col min="17" max="21" width="17.453125" hidden="1" customWidth="1"/>
    <col min="22" max="22" width="17.453125" customWidth="1"/>
    <col min="23" max="23" width="27.81640625" customWidth="1"/>
    <col min="24" max="24" width="17" customWidth="1"/>
    <col min="25" max="26" width="9.1796875" customWidth="1"/>
  </cols>
  <sheetData>
    <row r="1" spans="1:26" ht="49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35">
      <c r="A2" s="60" t="s">
        <v>111</v>
      </c>
      <c r="B2" s="6"/>
      <c r="C2" s="7" t="s">
        <v>24</v>
      </c>
      <c r="D2" s="8" t="s">
        <v>25</v>
      </c>
      <c r="E2" s="9" t="s">
        <v>117</v>
      </c>
      <c r="F2" s="8" t="s">
        <v>26</v>
      </c>
      <c r="G2" s="10">
        <v>1.52</v>
      </c>
      <c r="H2" s="11"/>
      <c r="I2" s="11"/>
      <c r="J2" s="11"/>
      <c r="K2" s="10">
        <v>112</v>
      </c>
      <c r="L2" s="12">
        <f>G2*K2</f>
        <v>170.24</v>
      </c>
      <c r="M2" s="12">
        <f>L2+O2</f>
        <v>178.75200000000001</v>
      </c>
      <c r="N2" s="13">
        <v>0.05</v>
      </c>
      <c r="O2" s="12">
        <f>L2*N2</f>
        <v>8.5120000000000005</v>
      </c>
      <c r="P2" s="8" t="s">
        <v>27</v>
      </c>
      <c r="Q2" s="8"/>
      <c r="R2" s="8"/>
      <c r="S2" s="8"/>
      <c r="T2" s="8"/>
      <c r="U2" s="8"/>
      <c r="V2" s="8" t="s">
        <v>28</v>
      </c>
      <c r="W2" s="8" t="s">
        <v>115</v>
      </c>
      <c r="X2" s="8" t="s">
        <v>29</v>
      </c>
      <c r="Y2" s="5"/>
      <c r="Z2" s="5"/>
    </row>
    <row r="3" spans="1:26" ht="15" customHeight="1" x14ac:dyDescent="0.3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 t="s">
        <v>116</v>
      </c>
      <c r="X3" s="8"/>
      <c r="Y3" s="5"/>
      <c r="Z3" s="5"/>
    </row>
    <row r="4" spans="1:26" ht="15" customHeight="1" x14ac:dyDescent="0.3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3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3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3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3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35">
      <c r="A9" s="15" t="s">
        <v>119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35">
      <c r="A10" s="15" t="s">
        <v>118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3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3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3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4</v>
      </c>
      <c r="L13" s="12">
        <f t="shared" si="0"/>
        <v>4</v>
      </c>
      <c r="M13" s="12">
        <f t="shared" si="1"/>
        <v>4.4800000000000004</v>
      </c>
      <c r="N13" s="13">
        <v>0.12</v>
      </c>
      <c r="O13" s="12">
        <f t="shared" si="2"/>
        <v>0.48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35">
      <c r="A14" s="62"/>
      <c r="B14" s="18"/>
      <c r="C14" s="7" t="s">
        <v>37</v>
      </c>
      <c r="D14" s="8" t="s">
        <v>40</v>
      </c>
      <c r="E14" s="8"/>
      <c r="F14" s="8"/>
      <c r="G14" s="10">
        <v>0.2</v>
      </c>
      <c r="H14" s="8" t="s">
        <v>52</v>
      </c>
      <c r="I14" s="8"/>
      <c r="J14" s="8"/>
      <c r="K14" s="10">
        <v>30</v>
      </c>
      <c r="L14" s="12">
        <f t="shared" si="0"/>
        <v>6</v>
      </c>
      <c r="M14" s="12">
        <f t="shared" si="1"/>
        <v>6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35">
      <c r="A15" s="62"/>
      <c r="C15" s="7" t="s">
        <v>37</v>
      </c>
      <c r="D15" s="8" t="s">
        <v>112</v>
      </c>
      <c r="E15" s="8" t="s">
        <v>113</v>
      </c>
      <c r="F15" s="8"/>
      <c r="G15" s="10">
        <v>9</v>
      </c>
      <c r="H15" s="8" t="s">
        <v>52</v>
      </c>
      <c r="I15" s="8"/>
      <c r="J15" s="8"/>
      <c r="K15" s="10">
        <v>1</v>
      </c>
      <c r="L15" s="12">
        <f t="shared" si="0"/>
        <v>9</v>
      </c>
      <c r="M15" s="12">
        <f t="shared" si="1"/>
        <v>9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3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3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3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3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3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35">
      <c r="A21" s="62"/>
      <c r="B21" s="18"/>
      <c r="C21" s="7" t="s">
        <v>37</v>
      </c>
      <c r="D21" s="8" t="s">
        <v>46</v>
      </c>
      <c r="E21" s="8"/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3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35">
      <c r="A23" s="62"/>
      <c r="B23" s="18"/>
      <c r="C23" s="7" t="s">
        <v>37</v>
      </c>
      <c r="D23" s="8" t="s">
        <v>110</v>
      </c>
      <c r="E23" s="8"/>
      <c r="F23" s="8"/>
      <c r="G23" s="10">
        <v>0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3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3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3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3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3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3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3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3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3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3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3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3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3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3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3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3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3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3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3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3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3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3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3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3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3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3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3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3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3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3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35">
      <c r="A54" s="15"/>
      <c r="B54" s="18"/>
      <c r="C54" s="8" t="s">
        <v>68</v>
      </c>
      <c r="D54" s="8" t="s">
        <v>69</v>
      </c>
      <c r="E54" s="8"/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35">
      <c r="A55" s="15"/>
      <c r="B55" s="18"/>
      <c r="C55" s="8" t="s">
        <v>68</v>
      </c>
      <c r="D55" s="8" t="s">
        <v>70</v>
      </c>
      <c r="E55" s="8"/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3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3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3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3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3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0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3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35">
      <c r="A62" s="15"/>
      <c r="B62" s="18"/>
      <c r="C62" s="20" t="s">
        <v>72</v>
      </c>
      <c r="D62" s="8"/>
      <c r="E62" s="20" t="s">
        <v>114</v>
      </c>
      <c r="F62" s="8">
        <v>1</v>
      </c>
      <c r="G62" s="10"/>
      <c r="H62" s="8"/>
      <c r="I62" s="8"/>
      <c r="J62" s="8"/>
      <c r="K62" s="10">
        <v>85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3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275.27999999999997</v>
      </c>
      <c r="M63" s="25">
        <f t="shared" si="3"/>
        <v>285.78279999999995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3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3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5.5055999999999994</v>
      </c>
      <c r="M65" s="12">
        <f t="shared" si="4"/>
        <v>5.5055999999999994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3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33.033599999999993</v>
      </c>
      <c r="M66" s="12">
        <f t="shared" si="4"/>
        <v>33.033599999999993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35">
      <c r="A67" s="22" t="str">
        <f>A2</f>
        <v>YAS26XWEWYF72300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315.31919999999997</v>
      </c>
      <c r="M67" s="25">
        <f t="shared" si="6"/>
        <v>326.09199999999993</v>
      </c>
      <c r="N67" s="26"/>
      <c r="O67" s="30">
        <f>SUM(O2:O66)</f>
        <v>10.772799999999998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3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3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315.31919999999997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3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3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3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3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3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315.31919999999997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3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5" x14ac:dyDescent="0.3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5" x14ac:dyDescent="0.3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5" x14ac:dyDescent="0.3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5" x14ac:dyDescent="0.3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5" x14ac:dyDescent="0.3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5" x14ac:dyDescent="0.3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5" x14ac:dyDescent="0.3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5" x14ac:dyDescent="0.3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5" x14ac:dyDescent="0.3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5" x14ac:dyDescent="0.3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5" x14ac:dyDescent="0.3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5" x14ac:dyDescent="0.3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5" x14ac:dyDescent="0.3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5" x14ac:dyDescent="0.3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5" x14ac:dyDescent="0.3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5" x14ac:dyDescent="0.3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5" x14ac:dyDescent="0.3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5" x14ac:dyDescent="0.3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5" x14ac:dyDescent="0.3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5" x14ac:dyDescent="0.3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5" x14ac:dyDescent="0.3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5" x14ac:dyDescent="0.3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5" x14ac:dyDescent="0.3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5" x14ac:dyDescent="0.3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5" x14ac:dyDescent="0.3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5" x14ac:dyDescent="0.3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5" x14ac:dyDescent="0.3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5" x14ac:dyDescent="0.3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5" x14ac:dyDescent="0.3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5" x14ac:dyDescent="0.3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5" x14ac:dyDescent="0.3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5" x14ac:dyDescent="0.3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5" x14ac:dyDescent="0.3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5" x14ac:dyDescent="0.3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5" x14ac:dyDescent="0.3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5" x14ac:dyDescent="0.3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5" x14ac:dyDescent="0.3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5" x14ac:dyDescent="0.3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5" x14ac:dyDescent="0.3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5" x14ac:dyDescent="0.3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5" x14ac:dyDescent="0.3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5" x14ac:dyDescent="0.3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5" x14ac:dyDescent="0.3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5" x14ac:dyDescent="0.3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5" x14ac:dyDescent="0.3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5" x14ac:dyDescent="0.3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5" x14ac:dyDescent="0.3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5" x14ac:dyDescent="0.3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5" x14ac:dyDescent="0.3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5" x14ac:dyDescent="0.3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5" x14ac:dyDescent="0.3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5" x14ac:dyDescent="0.3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5" x14ac:dyDescent="0.3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5" x14ac:dyDescent="0.3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5" x14ac:dyDescent="0.3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5" x14ac:dyDescent="0.3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5" x14ac:dyDescent="0.3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5" x14ac:dyDescent="0.3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5" x14ac:dyDescent="0.3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5" x14ac:dyDescent="0.3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5" x14ac:dyDescent="0.3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5" x14ac:dyDescent="0.3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5" x14ac:dyDescent="0.3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5" x14ac:dyDescent="0.3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5" x14ac:dyDescent="0.3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5" x14ac:dyDescent="0.3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5" x14ac:dyDescent="0.3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5" x14ac:dyDescent="0.3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5" x14ac:dyDescent="0.3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5" x14ac:dyDescent="0.3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5" x14ac:dyDescent="0.3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5" x14ac:dyDescent="0.3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5" x14ac:dyDescent="0.3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5" x14ac:dyDescent="0.3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5" x14ac:dyDescent="0.3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5" x14ac:dyDescent="0.3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5" x14ac:dyDescent="0.3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5" x14ac:dyDescent="0.3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5" x14ac:dyDescent="0.3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5" x14ac:dyDescent="0.3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5" x14ac:dyDescent="0.3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5" x14ac:dyDescent="0.3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5" x14ac:dyDescent="0.3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5" x14ac:dyDescent="0.3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5" x14ac:dyDescent="0.3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5" x14ac:dyDescent="0.3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5" x14ac:dyDescent="0.3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5" x14ac:dyDescent="0.3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5" x14ac:dyDescent="0.3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5" x14ac:dyDescent="0.3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5" x14ac:dyDescent="0.3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5" x14ac:dyDescent="0.3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5" x14ac:dyDescent="0.3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5" x14ac:dyDescent="0.3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5" x14ac:dyDescent="0.3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5" x14ac:dyDescent="0.3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5" x14ac:dyDescent="0.3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5" x14ac:dyDescent="0.3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5" x14ac:dyDescent="0.3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5" x14ac:dyDescent="0.3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5" x14ac:dyDescent="0.3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5" x14ac:dyDescent="0.3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5" x14ac:dyDescent="0.3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5" x14ac:dyDescent="0.3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5" x14ac:dyDescent="0.3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5" x14ac:dyDescent="0.3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5" x14ac:dyDescent="0.3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5" x14ac:dyDescent="0.3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5" x14ac:dyDescent="0.3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5" x14ac:dyDescent="0.3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5" x14ac:dyDescent="0.3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5" x14ac:dyDescent="0.3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5" x14ac:dyDescent="0.3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5" x14ac:dyDescent="0.3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5" x14ac:dyDescent="0.3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5" x14ac:dyDescent="0.3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5" x14ac:dyDescent="0.3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5" x14ac:dyDescent="0.3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5" x14ac:dyDescent="0.3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5" x14ac:dyDescent="0.3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5" x14ac:dyDescent="0.3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5" x14ac:dyDescent="0.3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5" x14ac:dyDescent="0.3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5" x14ac:dyDescent="0.3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5" x14ac:dyDescent="0.3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5" x14ac:dyDescent="0.3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5" x14ac:dyDescent="0.3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5" x14ac:dyDescent="0.3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5" x14ac:dyDescent="0.3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5" x14ac:dyDescent="0.3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5" x14ac:dyDescent="0.3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5" x14ac:dyDescent="0.3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5" x14ac:dyDescent="0.3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5" x14ac:dyDescent="0.3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5" x14ac:dyDescent="0.3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5" x14ac:dyDescent="0.3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5" x14ac:dyDescent="0.3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5" x14ac:dyDescent="0.3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5" x14ac:dyDescent="0.3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5" x14ac:dyDescent="0.3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5" x14ac:dyDescent="0.3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5" x14ac:dyDescent="0.3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5" x14ac:dyDescent="0.3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5" x14ac:dyDescent="0.3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5" x14ac:dyDescent="0.3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5" x14ac:dyDescent="0.3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5" x14ac:dyDescent="0.3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5" x14ac:dyDescent="0.3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5" x14ac:dyDescent="0.3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5" x14ac:dyDescent="0.3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5" x14ac:dyDescent="0.3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5" x14ac:dyDescent="0.3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5" x14ac:dyDescent="0.3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5" x14ac:dyDescent="0.3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5" x14ac:dyDescent="0.3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5" x14ac:dyDescent="0.3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5" x14ac:dyDescent="0.3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5" x14ac:dyDescent="0.3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5" x14ac:dyDescent="0.3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5" x14ac:dyDescent="0.3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5" x14ac:dyDescent="0.3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5" x14ac:dyDescent="0.3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5" x14ac:dyDescent="0.3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5" x14ac:dyDescent="0.3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5" x14ac:dyDescent="0.3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5" x14ac:dyDescent="0.3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5" x14ac:dyDescent="0.3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5" x14ac:dyDescent="0.3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5" x14ac:dyDescent="0.3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5" x14ac:dyDescent="0.3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5" x14ac:dyDescent="0.3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5" x14ac:dyDescent="0.3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5" x14ac:dyDescent="0.3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5" x14ac:dyDescent="0.3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5" x14ac:dyDescent="0.3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5" x14ac:dyDescent="0.3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5" x14ac:dyDescent="0.3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5" x14ac:dyDescent="0.3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5" x14ac:dyDescent="0.3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5" x14ac:dyDescent="0.3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5" x14ac:dyDescent="0.3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5" x14ac:dyDescent="0.3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5" x14ac:dyDescent="0.3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5" x14ac:dyDescent="0.3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5" x14ac:dyDescent="0.3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5" x14ac:dyDescent="0.3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5" x14ac:dyDescent="0.3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5" x14ac:dyDescent="0.3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5" x14ac:dyDescent="0.3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5" x14ac:dyDescent="0.3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5" x14ac:dyDescent="0.3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5" x14ac:dyDescent="0.3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5" x14ac:dyDescent="0.3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5" x14ac:dyDescent="0.3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5" x14ac:dyDescent="0.3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5" x14ac:dyDescent="0.3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5" x14ac:dyDescent="0.3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5" x14ac:dyDescent="0.3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5" x14ac:dyDescent="0.3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5" x14ac:dyDescent="0.3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5" x14ac:dyDescent="0.3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5" x14ac:dyDescent="0.3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5" x14ac:dyDescent="0.3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5" x14ac:dyDescent="0.3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5" x14ac:dyDescent="0.3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5" x14ac:dyDescent="0.3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5" x14ac:dyDescent="0.3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5" x14ac:dyDescent="0.3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5" x14ac:dyDescent="0.3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5" x14ac:dyDescent="0.3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5" x14ac:dyDescent="0.3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5" x14ac:dyDescent="0.3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5" x14ac:dyDescent="0.3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5" x14ac:dyDescent="0.3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5" x14ac:dyDescent="0.3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5" x14ac:dyDescent="0.3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5" x14ac:dyDescent="0.3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5" x14ac:dyDescent="0.3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5" x14ac:dyDescent="0.3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5" x14ac:dyDescent="0.3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5" x14ac:dyDescent="0.3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5" x14ac:dyDescent="0.3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5" x14ac:dyDescent="0.3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5" x14ac:dyDescent="0.3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5" x14ac:dyDescent="0.3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5" x14ac:dyDescent="0.3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5" x14ac:dyDescent="0.3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5" x14ac:dyDescent="0.3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5" x14ac:dyDescent="0.3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5" x14ac:dyDescent="0.3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5" x14ac:dyDescent="0.3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5" x14ac:dyDescent="0.3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5" x14ac:dyDescent="0.3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5" x14ac:dyDescent="0.3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5" x14ac:dyDescent="0.3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5" x14ac:dyDescent="0.3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5" x14ac:dyDescent="0.3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5" x14ac:dyDescent="0.3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5" x14ac:dyDescent="0.3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5" x14ac:dyDescent="0.3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5" x14ac:dyDescent="0.3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5" x14ac:dyDescent="0.3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5" x14ac:dyDescent="0.3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5" x14ac:dyDescent="0.3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5" x14ac:dyDescent="0.3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5" x14ac:dyDescent="0.3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5" x14ac:dyDescent="0.3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5" x14ac:dyDescent="0.3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5" x14ac:dyDescent="0.3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5" x14ac:dyDescent="0.3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5" x14ac:dyDescent="0.3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5" x14ac:dyDescent="0.3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5" x14ac:dyDescent="0.3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5" x14ac:dyDescent="0.3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5" x14ac:dyDescent="0.3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5" x14ac:dyDescent="0.3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5" x14ac:dyDescent="0.3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5" x14ac:dyDescent="0.3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5" x14ac:dyDescent="0.3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5" x14ac:dyDescent="0.3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5" x14ac:dyDescent="0.3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5" x14ac:dyDescent="0.3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5" x14ac:dyDescent="0.3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5" x14ac:dyDescent="0.3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5" x14ac:dyDescent="0.3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5" x14ac:dyDescent="0.3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5" x14ac:dyDescent="0.3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5" x14ac:dyDescent="0.3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5" x14ac:dyDescent="0.3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5" x14ac:dyDescent="0.3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5" x14ac:dyDescent="0.3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5" x14ac:dyDescent="0.3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5" x14ac:dyDescent="0.3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5" x14ac:dyDescent="0.3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5" x14ac:dyDescent="0.3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5" x14ac:dyDescent="0.3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5" x14ac:dyDescent="0.3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5" x14ac:dyDescent="0.3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5" x14ac:dyDescent="0.3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5" x14ac:dyDescent="0.3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5" x14ac:dyDescent="0.3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5" x14ac:dyDescent="0.3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5" x14ac:dyDescent="0.3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5" x14ac:dyDescent="0.3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5" x14ac:dyDescent="0.3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5" x14ac:dyDescent="0.3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5" x14ac:dyDescent="0.3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5" x14ac:dyDescent="0.3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5" x14ac:dyDescent="0.3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5" x14ac:dyDescent="0.3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5" x14ac:dyDescent="0.3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5" x14ac:dyDescent="0.3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5" x14ac:dyDescent="0.3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5" x14ac:dyDescent="0.3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5" x14ac:dyDescent="0.3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5" x14ac:dyDescent="0.3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5" x14ac:dyDescent="0.3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5" x14ac:dyDescent="0.3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5" x14ac:dyDescent="0.3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5" x14ac:dyDescent="0.3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5" x14ac:dyDescent="0.3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5" x14ac:dyDescent="0.3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5" x14ac:dyDescent="0.3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5" x14ac:dyDescent="0.3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5" x14ac:dyDescent="0.3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5" x14ac:dyDescent="0.3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5" x14ac:dyDescent="0.3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5" x14ac:dyDescent="0.3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5" x14ac:dyDescent="0.3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5" x14ac:dyDescent="0.3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5" x14ac:dyDescent="0.3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5" x14ac:dyDescent="0.3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5" x14ac:dyDescent="0.3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5" x14ac:dyDescent="0.3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5" x14ac:dyDescent="0.3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5" x14ac:dyDescent="0.3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5" x14ac:dyDescent="0.3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5" x14ac:dyDescent="0.3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5" x14ac:dyDescent="0.3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5" x14ac:dyDescent="0.3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5" x14ac:dyDescent="0.3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5" x14ac:dyDescent="0.3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5" x14ac:dyDescent="0.3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5" x14ac:dyDescent="0.3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5" x14ac:dyDescent="0.3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5" x14ac:dyDescent="0.3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5" x14ac:dyDescent="0.3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5" x14ac:dyDescent="0.3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5" x14ac:dyDescent="0.3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5" x14ac:dyDescent="0.3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5" x14ac:dyDescent="0.3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5" x14ac:dyDescent="0.3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5" x14ac:dyDescent="0.3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5" x14ac:dyDescent="0.3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5" x14ac:dyDescent="0.3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5" x14ac:dyDescent="0.3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5" x14ac:dyDescent="0.3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5" x14ac:dyDescent="0.3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5" x14ac:dyDescent="0.3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5" x14ac:dyDescent="0.3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5" x14ac:dyDescent="0.3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5" x14ac:dyDescent="0.3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5" x14ac:dyDescent="0.3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5" x14ac:dyDescent="0.3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5" x14ac:dyDescent="0.3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5" x14ac:dyDescent="0.3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5" x14ac:dyDescent="0.3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5" x14ac:dyDescent="0.3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5" x14ac:dyDescent="0.3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5" x14ac:dyDescent="0.3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5" x14ac:dyDescent="0.3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5" x14ac:dyDescent="0.3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5" x14ac:dyDescent="0.3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5" x14ac:dyDescent="0.3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5" x14ac:dyDescent="0.3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5" x14ac:dyDescent="0.3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5" x14ac:dyDescent="0.3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5" x14ac:dyDescent="0.3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5" x14ac:dyDescent="0.3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5" x14ac:dyDescent="0.3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5" x14ac:dyDescent="0.3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5" x14ac:dyDescent="0.3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5" x14ac:dyDescent="0.3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5" x14ac:dyDescent="0.3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5" x14ac:dyDescent="0.3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5" x14ac:dyDescent="0.3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5" x14ac:dyDescent="0.3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5" x14ac:dyDescent="0.3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5" x14ac:dyDescent="0.3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5" x14ac:dyDescent="0.3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5" x14ac:dyDescent="0.3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5" x14ac:dyDescent="0.3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5" x14ac:dyDescent="0.3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5" x14ac:dyDescent="0.3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5" x14ac:dyDescent="0.3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5" x14ac:dyDescent="0.3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5" x14ac:dyDescent="0.3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5" x14ac:dyDescent="0.3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5" x14ac:dyDescent="0.3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5" x14ac:dyDescent="0.3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5" x14ac:dyDescent="0.3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5" x14ac:dyDescent="0.3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5" x14ac:dyDescent="0.3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5" x14ac:dyDescent="0.3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5" x14ac:dyDescent="0.3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5" x14ac:dyDescent="0.3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5" x14ac:dyDescent="0.3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5" x14ac:dyDescent="0.3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5" x14ac:dyDescent="0.3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5" x14ac:dyDescent="0.3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5" x14ac:dyDescent="0.3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5" x14ac:dyDescent="0.3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5" x14ac:dyDescent="0.3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5" x14ac:dyDescent="0.3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5" x14ac:dyDescent="0.3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5" x14ac:dyDescent="0.3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5" x14ac:dyDescent="0.3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5" x14ac:dyDescent="0.3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5" x14ac:dyDescent="0.3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5" x14ac:dyDescent="0.3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5" x14ac:dyDescent="0.3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5" x14ac:dyDescent="0.3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5" x14ac:dyDescent="0.3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5" x14ac:dyDescent="0.3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5" x14ac:dyDescent="0.3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5" x14ac:dyDescent="0.3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5" x14ac:dyDescent="0.3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5" x14ac:dyDescent="0.3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5" x14ac:dyDescent="0.3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5" x14ac:dyDescent="0.3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5" x14ac:dyDescent="0.3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5" x14ac:dyDescent="0.3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5" x14ac:dyDescent="0.3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5" x14ac:dyDescent="0.3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5" x14ac:dyDescent="0.3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5" x14ac:dyDescent="0.3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5" x14ac:dyDescent="0.3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5" x14ac:dyDescent="0.3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5" x14ac:dyDescent="0.3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5" x14ac:dyDescent="0.3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5" x14ac:dyDescent="0.3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5" x14ac:dyDescent="0.3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5" x14ac:dyDescent="0.3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5" x14ac:dyDescent="0.3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5" x14ac:dyDescent="0.3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5" x14ac:dyDescent="0.3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5" x14ac:dyDescent="0.3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5" x14ac:dyDescent="0.3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5" x14ac:dyDescent="0.3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5" x14ac:dyDescent="0.3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5" x14ac:dyDescent="0.3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5" x14ac:dyDescent="0.3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5" x14ac:dyDescent="0.3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5" x14ac:dyDescent="0.3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5" x14ac:dyDescent="0.3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5" x14ac:dyDescent="0.3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5" x14ac:dyDescent="0.3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5" x14ac:dyDescent="0.3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5" x14ac:dyDescent="0.3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5" x14ac:dyDescent="0.3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5" x14ac:dyDescent="0.3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5" x14ac:dyDescent="0.3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5" x14ac:dyDescent="0.3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5" x14ac:dyDescent="0.3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5" x14ac:dyDescent="0.3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5" x14ac:dyDescent="0.3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5" x14ac:dyDescent="0.3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5" x14ac:dyDescent="0.3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5" x14ac:dyDescent="0.3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5" x14ac:dyDescent="0.3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5" x14ac:dyDescent="0.3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5" x14ac:dyDescent="0.3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5" x14ac:dyDescent="0.3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5" x14ac:dyDescent="0.3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5" x14ac:dyDescent="0.3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5" x14ac:dyDescent="0.3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5" x14ac:dyDescent="0.3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5" x14ac:dyDescent="0.3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5" x14ac:dyDescent="0.3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5" x14ac:dyDescent="0.3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5" x14ac:dyDescent="0.3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5" x14ac:dyDescent="0.3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5" x14ac:dyDescent="0.3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5" x14ac:dyDescent="0.3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5" x14ac:dyDescent="0.3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5" x14ac:dyDescent="0.3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5" x14ac:dyDescent="0.3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5" x14ac:dyDescent="0.3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5" x14ac:dyDescent="0.3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5" x14ac:dyDescent="0.3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5" x14ac:dyDescent="0.3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5" x14ac:dyDescent="0.3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5" x14ac:dyDescent="0.3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5" x14ac:dyDescent="0.3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5" x14ac:dyDescent="0.3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5" x14ac:dyDescent="0.3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5" x14ac:dyDescent="0.3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5" x14ac:dyDescent="0.3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5" x14ac:dyDescent="0.3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5" x14ac:dyDescent="0.3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5" x14ac:dyDescent="0.3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5" x14ac:dyDescent="0.3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5" x14ac:dyDescent="0.3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5" x14ac:dyDescent="0.3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5" x14ac:dyDescent="0.3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5" x14ac:dyDescent="0.3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5" x14ac:dyDescent="0.3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5" x14ac:dyDescent="0.3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5" x14ac:dyDescent="0.3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5" x14ac:dyDescent="0.3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5" x14ac:dyDescent="0.3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5" x14ac:dyDescent="0.3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5" x14ac:dyDescent="0.3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5" x14ac:dyDescent="0.3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5" x14ac:dyDescent="0.3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5" x14ac:dyDescent="0.3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5" x14ac:dyDescent="0.3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5" x14ac:dyDescent="0.3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5" x14ac:dyDescent="0.3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5" x14ac:dyDescent="0.3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5" x14ac:dyDescent="0.3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5" x14ac:dyDescent="0.3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5" x14ac:dyDescent="0.3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5" x14ac:dyDescent="0.3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5" x14ac:dyDescent="0.3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5" x14ac:dyDescent="0.3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5" x14ac:dyDescent="0.3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5" x14ac:dyDescent="0.3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5" x14ac:dyDescent="0.3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5" x14ac:dyDescent="0.3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5" x14ac:dyDescent="0.3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5" x14ac:dyDescent="0.3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5" x14ac:dyDescent="0.3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5" x14ac:dyDescent="0.3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5" x14ac:dyDescent="0.3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5" x14ac:dyDescent="0.3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5" x14ac:dyDescent="0.3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5" x14ac:dyDescent="0.3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5" x14ac:dyDescent="0.3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5" x14ac:dyDescent="0.3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5" x14ac:dyDescent="0.3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5" x14ac:dyDescent="0.3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5" x14ac:dyDescent="0.3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5" x14ac:dyDescent="0.3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5" x14ac:dyDescent="0.3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5" x14ac:dyDescent="0.3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5" x14ac:dyDescent="0.3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5" x14ac:dyDescent="0.3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5" x14ac:dyDescent="0.3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5" x14ac:dyDescent="0.3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5" x14ac:dyDescent="0.3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5" x14ac:dyDescent="0.3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5" x14ac:dyDescent="0.3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5" x14ac:dyDescent="0.3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5" x14ac:dyDescent="0.3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5" x14ac:dyDescent="0.3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5" x14ac:dyDescent="0.3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5" x14ac:dyDescent="0.3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5" x14ac:dyDescent="0.3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5" x14ac:dyDescent="0.3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5" x14ac:dyDescent="0.3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5" x14ac:dyDescent="0.3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5" x14ac:dyDescent="0.3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5" x14ac:dyDescent="0.3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5" x14ac:dyDescent="0.3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5" x14ac:dyDescent="0.3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5" x14ac:dyDescent="0.3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5" x14ac:dyDescent="0.3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5" x14ac:dyDescent="0.3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5" x14ac:dyDescent="0.3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5" x14ac:dyDescent="0.3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5" x14ac:dyDescent="0.3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5" x14ac:dyDescent="0.3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5" x14ac:dyDescent="0.3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5" x14ac:dyDescent="0.3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5" x14ac:dyDescent="0.3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5" x14ac:dyDescent="0.3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5" x14ac:dyDescent="0.3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5" x14ac:dyDescent="0.3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5" x14ac:dyDescent="0.3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5" x14ac:dyDescent="0.3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5" x14ac:dyDescent="0.3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5" x14ac:dyDescent="0.3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5" x14ac:dyDescent="0.3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5" x14ac:dyDescent="0.3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5" x14ac:dyDescent="0.3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5" x14ac:dyDescent="0.3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5" x14ac:dyDescent="0.3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5" x14ac:dyDescent="0.3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5" x14ac:dyDescent="0.3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5" x14ac:dyDescent="0.3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5" x14ac:dyDescent="0.3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5" x14ac:dyDescent="0.3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5" x14ac:dyDescent="0.3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5" x14ac:dyDescent="0.3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5" x14ac:dyDescent="0.3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5" x14ac:dyDescent="0.3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5" x14ac:dyDescent="0.3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5" x14ac:dyDescent="0.3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5" x14ac:dyDescent="0.3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5" x14ac:dyDescent="0.3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5" x14ac:dyDescent="0.3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5" x14ac:dyDescent="0.3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5" x14ac:dyDescent="0.3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5" x14ac:dyDescent="0.3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5" x14ac:dyDescent="0.3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5" x14ac:dyDescent="0.3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5" x14ac:dyDescent="0.3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5" x14ac:dyDescent="0.3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5" x14ac:dyDescent="0.3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5" x14ac:dyDescent="0.3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5" x14ac:dyDescent="0.3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5" x14ac:dyDescent="0.3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5" x14ac:dyDescent="0.3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5" x14ac:dyDescent="0.3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5" x14ac:dyDescent="0.3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5" x14ac:dyDescent="0.3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5" x14ac:dyDescent="0.3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5" x14ac:dyDescent="0.3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5" x14ac:dyDescent="0.3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5" x14ac:dyDescent="0.3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5" x14ac:dyDescent="0.3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5" x14ac:dyDescent="0.3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5" x14ac:dyDescent="0.3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5" x14ac:dyDescent="0.3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5" x14ac:dyDescent="0.3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5" x14ac:dyDescent="0.3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5" x14ac:dyDescent="0.3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5" x14ac:dyDescent="0.3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5" x14ac:dyDescent="0.3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5" x14ac:dyDescent="0.3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5" x14ac:dyDescent="0.3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5" x14ac:dyDescent="0.3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5" x14ac:dyDescent="0.3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5" x14ac:dyDescent="0.3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5" x14ac:dyDescent="0.3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5" x14ac:dyDescent="0.3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5" x14ac:dyDescent="0.3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5" x14ac:dyDescent="0.3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5" x14ac:dyDescent="0.3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5" x14ac:dyDescent="0.3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5" x14ac:dyDescent="0.3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5" x14ac:dyDescent="0.3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5" x14ac:dyDescent="0.3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5" x14ac:dyDescent="0.3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5" x14ac:dyDescent="0.3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5" x14ac:dyDescent="0.3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5" x14ac:dyDescent="0.3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5" x14ac:dyDescent="0.3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5" x14ac:dyDescent="0.3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5" x14ac:dyDescent="0.3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5" x14ac:dyDescent="0.3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5" x14ac:dyDescent="0.3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5" x14ac:dyDescent="0.3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5" x14ac:dyDescent="0.3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5" x14ac:dyDescent="0.3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5" x14ac:dyDescent="0.3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5" x14ac:dyDescent="0.3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5" x14ac:dyDescent="0.3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5" x14ac:dyDescent="0.3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5" x14ac:dyDescent="0.3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5" x14ac:dyDescent="0.3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5" x14ac:dyDescent="0.3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5" x14ac:dyDescent="0.3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5" x14ac:dyDescent="0.3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5" x14ac:dyDescent="0.3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5" x14ac:dyDescent="0.3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5" x14ac:dyDescent="0.3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5" x14ac:dyDescent="0.3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5" x14ac:dyDescent="0.3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5" x14ac:dyDescent="0.3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5" x14ac:dyDescent="0.3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5" x14ac:dyDescent="0.3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5" x14ac:dyDescent="0.3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5" x14ac:dyDescent="0.3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5" x14ac:dyDescent="0.3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5" x14ac:dyDescent="0.3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5" x14ac:dyDescent="0.3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5" x14ac:dyDescent="0.3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5" x14ac:dyDescent="0.3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5" x14ac:dyDescent="0.3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5" x14ac:dyDescent="0.3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5" x14ac:dyDescent="0.3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5" x14ac:dyDescent="0.3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5" x14ac:dyDescent="0.3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5" x14ac:dyDescent="0.3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5" x14ac:dyDescent="0.3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5" x14ac:dyDescent="0.3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5" x14ac:dyDescent="0.3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5" x14ac:dyDescent="0.3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5" x14ac:dyDescent="0.3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5" x14ac:dyDescent="0.3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5" x14ac:dyDescent="0.3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5" x14ac:dyDescent="0.3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5" x14ac:dyDescent="0.3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5" x14ac:dyDescent="0.3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5" x14ac:dyDescent="0.3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5" x14ac:dyDescent="0.3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5" x14ac:dyDescent="0.3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5" x14ac:dyDescent="0.3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5" x14ac:dyDescent="0.3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5" x14ac:dyDescent="0.3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5" x14ac:dyDescent="0.3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5" x14ac:dyDescent="0.3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5" x14ac:dyDescent="0.3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5" x14ac:dyDescent="0.3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5" x14ac:dyDescent="0.3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5" x14ac:dyDescent="0.3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5" x14ac:dyDescent="0.3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5" x14ac:dyDescent="0.3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5" x14ac:dyDescent="0.3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5" x14ac:dyDescent="0.3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5" x14ac:dyDescent="0.3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5" x14ac:dyDescent="0.3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5" x14ac:dyDescent="0.3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5" x14ac:dyDescent="0.3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5" x14ac:dyDescent="0.3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5" x14ac:dyDescent="0.3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5" x14ac:dyDescent="0.3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5" x14ac:dyDescent="0.3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5" x14ac:dyDescent="0.3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5" x14ac:dyDescent="0.3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5" x14ac:dyDescent="0.3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5" x14ac:dyDescent="0.3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5" x14ac:dyDescent="0.3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5" x14ac:dyDescent="0.3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5" x14ac:dyDescent="0.3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5" x14ac:dyDescent="0.3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5" x14ac:dyDescent="0.3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5" x14ac:dyDescent="0.3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5" x14ac:dyDescent="0.3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5" x14ac:dyDescent="0.3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5" x14ac:dyDescent="0.3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5" x14ac:dyDescent="0.3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5" x14ac:dyDescent="0.3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5" x14ac:dyDescent="0.3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5" x14ac:dyDescent="0.3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5" x14ac:dyDescent="0.3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5" x14ac:dyDescent="0.3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5" x14ac:dyDescent="0.3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5" x14ac:dyDescent="0.3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5" x14ac:dyDescent="0.3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5" x14ac:dyDescent="0.3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5" x14ac:dyDescent="0.3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5" x14ac:dyDescent="0.3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5" x14ac:dyDescent="0.3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5" x14ac:dyDescent="0.3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5" x14ac:dyDescent="0.3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5" x14ac:dyDescent="0.3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5" x14ac:dyDescent="0.3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5" x14ac:dyDescent="0.3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5" x14ac:dyDescent="0.3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5" x14ac:dyDescent="0.3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5" x14ac:dyDescent="0.3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5" x14ac:dyDescent="0.3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5" x14ac:dyDescent="0.3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5" x14ac:dyDescent="0.3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5" x14ac:dyDescent="0.3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5" x14ac:dyDescent="0.3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5" x14ac:dyDescent="0.3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5" x14ac:dyDescent="0.3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5" x14ac:dyDescent="0.3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5" x14ac:dyDescent="0.3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5" x14ac:dyDescent="0.3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5" x14ac:dyDescent="0.3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5" x14ac:dyDescent="0.3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5" x14ac:dyDescent="0.3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5" x14ac:dyDescent="0.3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5" x14ac:dyDescent="0.3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5" x14ac:dyDescent="0.3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5" x14ac:dyDescent="0.3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5" x14ac:dyDescent="0.3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5" x14ac:dyDescent="0.3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5" x14ac:dyDescent="0.3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5" x14ac:dyDescent="0.3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5" x14ac:dyDescent="0.3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5" x14ac:dyDescent="0.3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5" x14ac:dyDescent="0.3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5" x14ac:dyDescent="0.3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5" x14ac:dyDescent="0.3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5" x14ac:dyDescent="0.3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5" x14ac:dyDescent="0.3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5" x14ac:dyDescent="0.3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5" x14ac:dyDescent="0.3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5" x14ac:dyDescent="0.3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5" x14ac:dyDescent="0.3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5" x14ac:dyDescent="0.3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5" x14ac:dyDescent="0.3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5" x14ac:dyDescent="0.3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5" x14ac:dyDescent="0.3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5" x14ac:dyDescent="0.3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5" x14ac:dyDescent="0.3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5" x14ac:dyDescent="0.3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5" x14ac:dyDescent="0.3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5" x14ac:dyDescent="0.3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5" x14ac:dyDescent="0.3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5" x14ac:dyDescent="0.3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5" x14ac:dyDescent="0.3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5" x14ac:dyDescent="0.3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5" x14ac:dyDescent="0.3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5" x14ac:dyDescent="0.3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5" x14ac:dyDescent="0.3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5" x14ac:dyDescent="0.3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5" x14ac:dyDescent="0.3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5" x14ac:dyDescent="0.3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5" x14ac:dyDescent="0.3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5" x14ac:dyDescent="0.3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5" x14ac:dyDescent="0.3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5" x14ac:dyDescent="0.3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5" x14ac:dyDescent="0.3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5" x14ac:dyDescent="0.3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5" x14ac:dyDescent="0.3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5" x14ac:dyDescent="0.3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5" x14ac:dyDescent="0.3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5" x14ac:dyDescent="0.3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5" x14ac:dyDescent="0.3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5" x14ac:dyDescent="0.3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5" x14ac:dyDescent="0.3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5" x14ac:dyDescent="0.3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5" x14ac:dyDescent="0.3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5" x14ac:dyDescent="0.3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5" x14ac:dyDescent="0.3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5" x14ac:dyDescent="0.3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5" x14ac:dyDescent="0.3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5" x14ac:dyDescent="0.3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5" x14ac:dyDescent="0.3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5" x14ac:dyDescent="0.3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5" x14ac:dyDescent="0.3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5" x14ac:dyDescent="0.3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5" x14ac:dyDescent="0.3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5" x14ac:dyDescent="0.3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5" x14ac:dyDescent="0.3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5" x14ac:dyDescent="0.3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5" x14ac:dyDescent="0.3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5" x14ac:dyDescent="0.3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5" x14ac:dyDescent="0.3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5" x14ac:dyDescent="0.3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5" x14ac:dyDescent="0.3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5" x14ac:dyDescent="0.3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5" x14ac:dyDescent="0.3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5" x14ac:dyDescent="0.3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5" x14ac:dyDescent="0.3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5" x14ac:dyDescent="0.3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5" x14ac:dyDescent="0.3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5" x14ac:dyDescent="0.3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5" x14ac:dyDescent="0.3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5" x14ac:dyDescent="0.3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5" x14ac:dyDescent="0.3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5" x14ac:dyDescent="0.3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5" x14ac:dyDescent="0.3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5" x14ac:dyDescent="0.3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5" x14ac:dyDescent="0.3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5" x14ac:dyDescent="0.3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5" x14ac:dyDescent="0.3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5" x14ac:dyDescent="0.3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5" x14ac:dyDescent="0.3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5" x14ac:dyDescent="0.3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5" x14ac:dyDescent="0.3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5" x14ac:dyDescent="0.3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5" x14ac:dyDescent="0.3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5" x14ac:dyDescent="0.3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5" x14ac:dyDescent="0.3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5" x14ac:dyDescent="0.3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5" x14ac:dyDescent="0.3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5" x14ac:dyDescent="0.3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5" x14ac:dyDescent="0.3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5" x14ac:dyDescent="0.3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5" x14ac:dyDescent="0.3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5" x14ac:dyDescent="0.3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5" x14ac:dyDescent="0.3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5" x14ac:dyDescent="0.3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5" x14ac:dyDescent="0.3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5" x14ac:dyDescent="0.3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5" x14ac:dyDescent="0.3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5" x14ac:dyDescent="0.3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5" x14ac:dyDescent="0.3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5" x14ac:dyDescent="0.3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5" x14ac:dyDescent="0.3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5" x14ac:dyDescent="0.3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5" x14ac:dyDescent="0.3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5" x14ac:dyDescent="0.3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5" x14ac:dyDescent="0.3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5" x14ac:dyDescent="0.3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5" x14ac:dyDescent="0.3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5" x14ac:dyDescent="0.3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5" x14ac:dyDescent="0.3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5" x14ac:dyDescent="0.3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5" x14ac:dyDescent="0.3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5" x14ac:dyDescent="0.3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5" x14ac:dyDescent="0.3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5" x14ac:dyDescent="0.3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5" x14ac:dyDescent="0.3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5" x14ac:dyDescent="0.3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5" x14ac:dyDescent="0.3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5" x14ac:dyDescent="0.3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5" x14ac:dyDescent="0.3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5" x14ac:dyDescent="0.3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5" x14ac:dyDescent="0.3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5" x14ac:dyDescent="0.3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5" x14ac:dyDescent="0.3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5" x14ac:dyDescent="0.3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5" x14ac:dyDescent="0.3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5" x14ac:dyDescent="0.3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5" x14ac:dyDescent="0.3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5" x14ac:dyDescent="0.3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5" x14ac:dyDescent="0.3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5" x14ac:dyDescent="0.3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5" x14ac:dyDescent="0.3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5" x14ac:dyDescent="0.3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5" x14ac:dyDescent="0.3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5" x14ac:dyDescent="0.3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5" x14ac:dyDescent="0.3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5" x14ac:dyDescent="0.3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5" x14ac:dyDescent="0.3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5" x14ac:dyDescent="0.3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5" x14ac:dyDescent="0.3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5" x14ac:dyDescent="0.3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5" x14ac:dyDescent="0.3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5" x14ac:dyDescent="0.3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5" x14ac:dyDescent="0.3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5" x14ac:dyDescent="0.3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5" x14ac:dyDescent="0.3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5" x14ac:dyDescent="0.3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5" x14ac:dyDescent="0.3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5" x14ac:dyDescent="0.3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5" x14ac:dyDescent="0.3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5" x14ac:dyDescent="0.3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5" x14ac:dyDescent="0.3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5" x14ac:dyDescent="0.3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5" x14ac:dyDescent="0.3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5" x14ac:dyDescent="0.3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5" x14ac:dyDescent="0.3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5" x14ac:dyDescent="0.3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5" x14ac:dyDescent="0.3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5" x14ac:dyDescent="0.3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5" x14ac:dyDescent="0.3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5" x14ac:dyDescent="0.3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5" x14ac:dyDescent="0.3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5" x14ac:dyDescent="0.3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5" x14ac:dyDescent="0.3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5" x14ac:dyDescent="0.3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5" x14ac:dyDescent="0.3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5" x14ac:dyDescent="0.3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5" x14ac:dyDescent="0.3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5" x14ac:dyDescent="0.3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opLeftCell="A4" workbookViewId="0">
      <selection activeCell="B21" sqref="B21:B23"/>
    </sheetView>
  </sheetViews>
  <sheetFormatPr defaultColWidth="14.453125" defaultRowHeight="15" customHeight="1" x14ac:dyDescent="0.35"/>
  <cols>
    <col min="1" max="1" width="8.7265625" customWidth="1"/>
    <col min="2" max="2" width="9.453125" customWidth="1"/>
    <col min="3" max="3" width="28" customWidth="1"/>
    <col min="4" max="4" width="8.7265625" customWidth="1"/>
    <col min="5" max="5" width="14.1796875" customWidth="1"/>
    <col min="6" max="6" width="11.453125" customWidth="1"/>
    <col min="7" max="9" width="8.7265625" customWidth="1"/>
    <col min="10" max="10" width="53" customWidth="1"/>
    <col min="11" max="12" width="8.7265625" customWidth="1"/>
    <col min="13" max="13" width="53.1796875" customWidth="1"/>
    <col min="14" max="23" width="8.7265625" customWidth="1"/>
    <col min="24" max="24" width="25.81640625" customWidth="1"/>
    <col min="25" max="25" width="11" customWidth="1"/>
    <col min="26" max="28" width="8.7265625" customWidth="1"/>
  </cols>
  <sheetData>
    <row r="1" spans="1:28" ht="14.25" customHeight="1" x14ac:dyDescent="0.35"/>
    <row r="2" spans="1:28" ht="14.25" customHeight="1" x14ac:dyDescent="0.35"/>
    <row r="3" spans="1:28" ht="14.25" customHeight="1" x14ac:dyDescent="0.3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35">
      <c r="A4" s="55">
        <v>1</v>
      </c>
      <c r="B4" s="55" t="s">
        <v>108</v>
      </c>
      <c r="C4" s="55" t="str">
        <f>'revised format'!A2</f>
        <v>YAS26XWEWYF72300</v>
      </c>
      <c r="D4" s="55"/>
      <c r="E4" s="56">
        <f>'revised format'!L69</f>
        <v>315.31919999999997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85</v>
      </c>
      <c r="J4" s="55" t="str">
        <f>'revised format'!E2</f>
        <v xml:space="preserve">Cotton flex all over print </v>
      </c>
      <c r="K4" s="56">
        <f>'revised format'!K2</f>
        <v>112</v>
      </c>
      <c r="L4" s="56">
        <f>'revised format'!G2</f>
        <v>1.52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35"/>
    <row r="6" spans="1:28" ht="14.25" customHeight="1" x14ac:dyDescent="0.35"/>
    <row r="7" spans="1:28" ht="14.25" customHeight="1" x14ac:dyDescent="0.35"/>
    <row r="8" spans="1:28" ht="14.25" customHeight="1" x14ac:dyDescent="0.35"/>
    <row r="9" spans="1:28" ht="14.25" customHeight="1" x14ac:dyDescent="0.35"/>
    <row r="10" spans="1:28" ht="14.25" customHeight="1" x14ac:dyDescent="0.35"/>
    <row r="11" spans="1:28" ht="14.25" customHeight="1" x14ac:dyDescent="0.35"/>
    <row r="12" spans="1:28" ht="14.25" customHeight="1" x14ac:dyDescent="0.35"/>
    <row r="13" spans="1:28" ht="14.25" customHeight="1" x14ac:dyDescent="0.35"/>
    <row r="14" spans="1:28" ht="14.25" customHeight="1" x14ac:dyDescent="0.35"/>
    <row r="15" spans="1:28" ht="14.25" customHeight="1" x14ac:dyDescent="0.35"/>
    <row r="16" spans="1:28" ht="14.25" customHeight="1" x14ac:dyDescent="0.35">
      <c r="B16" s="58"/>
    </row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2026-05-15T09:55:24Z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