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/>
  </mc:AlternateContent>
  <xr:revisionPtr revIDLastSave="0" documentId="13_ncr:1_{FFCAED4C-530A-4C6A-A6BA-789C4F84CDD8}" xr6:coauthVersionLast="36" xr6:coauthVersionMax="36" xr10:uidLastSave="{00000000-0000-0000-0000-000000000000}"/>
  <bookViews>
    <workbookView xWindow="0" yWindow="0" windowWidth="19200" windowHeight="6520" firstSheet="20" activeTab="24" xr2:uid="{860EE5D5-D232-4CAE-87A9-1DA72C4E98E6}"/>
  </bookViews>
  <sheets>
    <sheet name="4045" sheetId="22" r:id="rId1"/>
    <sheet name="4049" sheetId="23" r:id="rId2"/>
    <sheet name="4073" sheetId="24" r:id="rId3"/>
    <sheet name="5004" sheetId="25" r:id="rId4"/>
    <sheet name="4112" sheetId="26" r:id="rId5"/>
    <sheet name="4113" sheetId="27" r:id="rId6"/>
    <sheet name="4233" sheetId="28" r:id="rId7"/>
    <sheet name="65424" sheetId="1" r:id="rId8"/>
    <sheet name="68119" sheetId="2" r:id="rId9"/>
    <sheet name="65440" sheetId="3" r:id="rId10"/>
    <sheet name="65432" sheetId="4" r:id="rId11"/>
    <sheet name="79062" sheetId="6" r:id="rId12"/>
    <sheet name="5052" sheetId="5" r:id="rId13"/>
    <sheet name="5007" sheetId="29" r:id="rId14"/>
    <sheet name="5053" sheetId="12" r:id="rId15"/>
    <sheet name="5056" sheetId="13" r:id="rId16"/>
    <sheet name="5005" sheetId="14" r:id="rId17"/>
    <sheet name="5060" sheetId="16" r:id="rId18"/>
    <sheet name="5059" sheetId="17" r:id="rId19"/>
    <sheet name="5009 - FUCHSIA" sheetId="30" r:id="rId20"/>
    <sheet name="5009 - BLACK" sheetId="31" r:id="rId21"/>
    <sheet name="5008 - fuchsia" sheetId="18" r:id="rId22"/>
    <sheet name="5008 - off white" sheetId="19" r:id="rId23"/>
    <sheet name="5008 - BLACK" sheetId="21" r:id="rId24"/>
    <sheet name="5008 - rust" sheetId="32" r:id="rId25"/>
    <sheet name="5008 - peach" sheetId="33" r:id="rId26"/>
    <sheet name="5008 - MUSTARD" sheetId="34" r:id="rId27"/>
    <sheet name="6105" sheetId="7" r:id="rId28"/>
    <sheet name="6210" sheetId="8" r:id="rId29"/>
    <sheet name="6204" sheetId="9" r:id="rId30"/>
    <sheet name="6087" sheetId="10" r:id="rId31"/>
    <sheet name="6012" sheetId="11" r:id="rId32"/>
    <sheet name="6100" sheetId="36" r:id="rId33"/>
    <sheet name="6106" sheetId="37" r:id="rId34"/>
    <sheet name="6206" sheetId="38" r:id="rId3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8" l="1"/>
  <c r="B45" i="38"/>
  <c r="C16" i="38" l="1"/>
  <c r="E47" i="38"/>
  <c r="E46" i="38"/>
  <c r="E45" i="38"/>
  <c r="E44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7" i="38"/>
  <c r="E16" i="38"/>
  <c r="E13" i="38"/>
  <c r="E12" i="38"/>
  <c r="E11" i="38"/>
  <c r="E10" i="38"/>
  <c r="E9" i="38"/>
  <c r="E8" i="38"/>
  <c r="D3" i="38"/>
  <c r="D2" i="38"/>
  <c r="E49" i="38" l="1"/>
  <c r="E35" i="38"/>
  <c r="E14" i="38"/>
  <c r="E37" i="38"/>
  <c r="E38" i="38" s="1"/>
  <c r="E41" i="38" s="1"/>
  <c r="D41" i="38" s="1"/>
  <c r="E49" i="37"/>
  <c r="E47" i="37"/>
  <c r="E46" i="37"/>
  <c r="E45" i="37"/>
  <c r="E44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7" i="37"/>
  <c r="E16" i="37"/>
  <c r="E13" i="37"/>
  <c r="E12" i="37"/>
  <c r="E11" i="37"/>
  <c r="E10" i="37"/>
  <c r="E9" i="37"/>
  <c r="E14" i="37" s="1"/>
  <c r="E8" i="37"/>
  <c r="D3" i="37"/>
  <c r="D2" i="37"/>
  <c r="E47" i="36"/>
  <c r="E46" i="36"/>
  <c r="E45" i="36"/>
  <c r="E49" i="36" s="1"/>
  <c r="E44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7" i="36"/>
  <c r="E16" i="36"/>
  <c r="E13" i="36"/>
  <c r="E12" i="36"/>
  <c r="E11" i="36"/>
  <c r="E10" i="36"/>
  <c r="E9" i="36"/>
  <c r="E8" i="36"/>
  <c r="D3" i="36"/>
  <c r="D2" i="36"/>
  <c r="D50" i="38" l="1"/>
  <c r="E39" i="38"/>
  <c r="E35" i="37"/>
  <c r="E37" i="37"/>
  <c r="D50" i="37" s="1"/>
  <c r="E35" i="36"/>
  <c r="E14" i="36"/>
  <c r="E47" i="34"/>
  <c r="E46" i="34"/>
  <c r="E45" i="34"/>
  <c r="E44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7" i="34"/>
  <c r="E16" i="34"/>
  <c r="E13" i="34"/>
  <c r="E12" i="34"/>
  <c r="E11" i="34"/>
  <c r="E10" i="34"/>
  <c r="E9" i="34"/>
  <c r="E8" i="34"/>
  <c r="D3" i="34"/>
  <c r="D2" i="34"/>
  <c r="D41" i="33"/>
  <c r="E47" i="33"/>
  <c r="E46" i="33"/>
  <c r="E45" i="33"/>
  <c r="E44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7" i="33"/>
  <c r="E16" i="33"/>
  <c r="E13" i="33"/>
  <c r="E12" i="33"/>
  <c r="E11" i="33"/>
  <c r="E10" i="33"/>
  <c r="E9" i="33"/>
  <c r="E8" i="33"/>
  <c r="D3" i="33"/>
  <c r="D2" i="33"/>
  <c r="E38" i="37" l="1"/>
  <c r="E41" i="37" s="1"/>
  <c r="D41" i="37" s="1"/>
  <c r="E39" i="37"/>
  <c r="E37" i="36"/>
  <c r="E38" i="36" s="1"/>
  <c r="E41" i="36" s="1"/>
  <c r="D41" i="36" s="1"/>
  <c r="D50" i="36"/>
  <c r="E39" i="36"/>
  <c r="E49" i="34"/>
  <c r="E35" i="34"/>
  <c r="E14" i="34"/>
  <c r="E37" i="34"/>
  <c r="E38" i="34" s="1"/>
  <c r="E41" i="34" s="1"/>
  <c r="E49" i="33"/>
  <c r="E14" i="33"/>
  <c r="E35" i="33"/>
  <c r="E37" i="33" s="1"/>
  <c r="E39" i="33" s="1"/>
  <c r="D50" i="34" l="1"/>
  <c r="D41" i="34" s="1"/>
  <c r="E39" i="34"/>
  <c r="E38" i="33"/>
  <c r="E41" i="33" s="1"/>
  <c r="D50" i="33"/>
  <c r="E47" i="32" l="1"/>
  <c r="E46" i="32"/>
  <c r="E45" i="32"/>
  <c r="E44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7" i="32"/>
  <c r="E16" i="32"/>
  <c r="E13" i="32"/>
  <c r="E12" i="32"/>
  <c r="E11" i="32"/>
  <c r="E10" i="32"/>
  <c r="E9" i="32"/>
  <c r="E8" i="32"/>
  <c r="D3" i="32"/>
  <c r="D2" i="32"/>
  <c r="E47" i="31"/>
  <c r="E46" i="31"/>
  <c r="E45" i="31"/>
  <c r="E44" i="31"/>
  <c r="E49" i="31" s="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35" i="31" s="1"/>
  <c r="E17" i="31"/>
  <c r="E16" i="31"/>
  <c r="E13" i="31"/>
  <c r="E14" i="31" s="1"/>
  <c r="E12" i="31"/>
  <c r="E11" i="31"/>
  <c r="E10" i="31"/>
  <c r="E9" i="31"/>
  <c r="E8" i="31"/>
  <c r="D3" i="31"/>
  <c r="D2" i="31"/>
  <c r="E47" i="30"/>
  <c r="E46" i="30"/>
  <c r="E45" i="30"/>
  <c r="E44" i="30"/>
  <c r="E49" i="30" s="1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35" i="30" s="1"/>
  <c r="E17" i="30"/>
  <c r="E16" i="30"/>
  <c r="E13" i="30"/>
  <c r="E14" i="30" s="1"/>
  <c r="E12" i="30"/>
  <c r="E11" i="30"/>
  <c r="E10" i="30"/>
  <c r="E9" i="30"/>
  <c r="E8" i="30"/>
  <c r="D3" i="30"/>
  <c r="D2" i="30"/>
  <c r="E47" i="29"/>
  <c r="E46" i="29"/>
  <c r="E45" i="29"/>
  <c r="E44" i="29"/>
  <c r="E49" i="29" s="1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35" i="29" s="1"/>
  <c r="E17" i="29"/>
  <c r="E16" i="29"/>
  <c r="E13" i="29"/>
  <c r="E14" i="29" s="1"/>
  <c r="E12" i="29"/>
  <c r="E11" i="29"/>
  <c r="E10" i="29"/>
  <c r="E9" i="29"/>
  <c r="E8" i="29"/>
  <c r="D3" i="29"/>
  <c r="D2" i="29"/>
  <c r="E47" i="28"/>
  <c r="E46" i="28"/>
  <c r="E45" i="28"/>
  <c r="E44" i="28"/>
  <c r="E49" i="28" s="1"/>
  <c r="H34" i="28"/>
  <c r="E34" i="28"/>
  <c r="E33" i="28"/>
  <c r="E32" i="28"/>
  <c r="E31" i="28"/>
  <c r="E30" i="28"/>
  <c r="E29" i="28"/>
  <c r="E28" i="28"/>
  <c r="E27" i="28"/>
  <c r="G26" i="28"/>
  <c r="E26" i="28"/>
  <c r="E25" i="28"/>
  <c r="E24" i="28"/>
  <c r="E23" i="28"/>
  <c r="E22" i="28"/>
  <c r="E21" i="28"/>
  <c r="E20" i="28"/>
  <c r="E19" i="28"/>
  <c r="E35" i="28" s="1"/>
  <c r="E37" i="28" s="1"/>
  <c r="E38" i="28" s="1"/>
  <c r="E41" i="28" s="1"/>
  <c r="D41" i="28" s="1"/>
  <c r="E17" i="28"/>
  <c r="E16" i="28"/>
  <c r="G14" i="28"/>
  <c r="E13" i="28"/>
  <c r="G12" i="28"/>
  <c r="E12" i="28"/>
  <c r="E11" i="28"/>
  <c r="E10" i="28"/>
  <c r="G9" i="28"/>
  <c r="E9" i="28"/>
  <c r="E8" i="28"/>
  <c r="E14" i="28" s="1"/>
  <c r="G7" i="28"/>
  <c r="D3" i="28"/>
  <c r="D2" i="28"/>
  <c r="E47" i="27"/>
  <c r="E46" i="27"/>
  <c r="B46" i="27"/>
  <c r="E45" i="27"/>
  <c r="E44" i="27"/>
  <c r="E49" i="27" s="1"/>
  <c r="H34" i="27"/>
  <c r="E34" i="27"/>
  <c r="E33" i="27"/>
  <c r="E32" i="27"/>
  <c r="E31" i="27"/>
  <c r="E30" i="27"/>
  <c r="E29" i="27"/>
  <c r="E28" i="27"/>
  <c r="E27" i="27"/>
  <c r="G26" i="27"/>
  <c r="E26" i="27"/>
  <c r="E25" i="27"/>
  <c r="E24" i="27"/>
  <c r="E23" i="27"/>
  <c r="E22" i="27"/>
  <c r="G21" i="27"/>
  <c r="E21" i="27"/>
  <c r="E20" i="27"/>
  <c r="E19" i="27"/>
  <c r="E35" i="27" s="1"/>
  <c r="E37" i="27" s="1"/>
  <c r="E38" i="27" s="1"/>
  <c r="E41" i="27" s="1"/>
  <c r="D41" i="27" s="1"/>
  <c r="E17" i="27"/>
  <c r="E16" i="27"/>
  <c r="E13" i="27"/>
  <c r="G12" i="27"/>
  <c r="E12" i="27"/>
  <c r="E11" i="27"/>
  <c r="E10" i="27"/>
  <c r="G9" i="27"/>
  <c r="E9" i="27"/>
  <c r="E8" i="27"/>
  <c r="E14" i="27" s="1"/>
  <c r="G7" i="27"/>
  <c r="D3" i="27"/>
  <c r="D2" i="27"/>
  <c r="E47" i="26"/>
  <c r="E46" i="26"/>
  <c r="E45" i="26"/>
  <c r="E44" i="26"/>
  <c r="E49" i="26" s="1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35" i="26" s="1"/>
  <c r="E37" i="26" s="1"/>
  <c r="E38" i="26" s="1"/>
  <c r="E41" i="26" s="1"/>
  <c r="D41" i="26" s="1"/>
  <c r="E17" i="26"/>
  <c r="E16" i="26"/>
  <c r="E14" i="26"/>
  <c r="E13" i="26"/>
  <c r="E12" i="26"/>
  <c r="E11" i="26"/>
  <c r="E10" i="26"/>
  <c r="E9" i="26"/>
  <c r="E8" i="26"/>
  <c r="B3" i="26"/>
  <c r="D3" i="26" s="1"/>
  <c r="D2" i="26"/>
  <c r="E47" i="25"/>
  <c r="E46" i="25"/>
  <c r="E45" i="25"/>
  <c r="E44" i="25"/>
  <c r="E49" i="25" s="1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35" i="25" s="1"/>
  <c r="E37" i="25" s="1"/>
  <c r="E38" i="25" s="1"/>
  <c r="E41" i="25" s="1"/>
  <c r="D41" i="25" s="1"/>
  <c r="E17" i="25"/>
  <c r="E16" i="25"/>
  <c r="E13" i="25"/>
  <c r="E14" i="25" s="1"/>
  <c r="E12" i="25"/>
  <c r="E11" i="25"/>
  <c r="E10" i="25"/>
  <c r="E9" i="25"/>
  <c r="E8" i="25"/>
  <c r="D3" i="25"/>
  <c r="D2" i="25"/>
  <c r="E47" i="24"/>
  <c r="E46" i="24"/>
  <c r="E45" i="24"/>
  <c r="E44" i="24"/>
  <c r="E49" i="24" s="1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35" i="24" s="1"/>
  <c r="E37" i="24" s="1"/>
  <c r="E38" i="24" s="1"/>
  <c r="E41" i="24" s="1"/>
  <c r="D41" i="24" s="1"/>
  <c r="E17" i="24"/>
  <c r="E16" i="24"/>
  <c r="E13" i="24"/>
  <c r="E14" i="24" s="1"/>
  <c r="E12" i="24"/>
  <c r="E11" i="24"/>
  <c r="E10" i="24"/>
  <c r="E9" i="24"/>
  <c r="E8" i="24"/>
  <c r="D3" i="24"/>
  <c r="D2" i="24"/>
  <c r="E47" i="23"/>
  <c r="E46" i="23"/>
  <c r="E45" i="23"/>
  <c r="E44" i="23"/>
  <c r="E49" i="23" s="1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35" i="23" s="1"/>
  <c r="E37" i="23" s="1"/>
  <c r="E17" i="23"/>
  <c r="E16" i="23"/>
  <c r="E13" i="23"/>
  <c r="E12" i="23"/>
  <c r="E11" i="23"/>
  <c r="E10" i="23"/>
  <c r="E14" i="23" s="1"/>
  <c r="E9" i="23"/>
  <c r="E8" i="23"/>
  <c r="D3" i="23"/>
  <c r="D2" i="23"/>
  <c r="E47" i="22"/>
  <c r="E46" i="22"/>
  <c r="E45" i="22"/>
  <c r="E44" i="22"/>
  <c r="E49" i="22" s="1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35" i="22" s="1"/>
  <c r="E37" i="22" s="1"/>
  <c r="E17" i="22"/>
  <c r="E16" i="22"/>
  <c r="E13" i="22"/>
  <c r="E12" i="22"/>
  <c r="E11" i="22"/>
  <c r="E14" i="22" s="1"/>
  <c r="E10" i="22"/>
  <c r="E9" i="22"/>
  <c r="E8" i="22"/>
  <c r="D3" i="22"/>
  <c r="D2" i="22"/>
  <c r="E49" i="32" l="1"/>
  <c r="E35" i="32"/>
  <c r="E14" i="32"/>
  <c r="E37" i="31"/>
  <c r="E38" i="31" s="1"/>
  <c r="E41" i="31" s="1"/>
  <c r="D41" i="31" s="1"/>
  <c r="E37" i="30"/>
  <c r="E38" i="30" s="1"/>
  <c r="E41" i="30" s="1"/>
  <c r="D41" i="30" s="1"/>
  <c r="E39" i="30"/>
  <c r="D50" i="30"/>
  <c r="E37" i="29"/>
  <c r="E38" i="29" s="1"/>
  <c r="E41" i="29" s="1"/>
  <c r="D41" i="29" s="1"/>
  <c r="E39" i="28"/>
  <c r="D50" i="28"/>
  <c r="D50" i="27"/>
  <c r="E39" i="27"/>
  <c r="E39" i="26"/>
  <c r="D50" i="26"/>
  <c r="E39" i="25"/>
  <c r="D50" i="25"/>
  <c r="E39" i="24"/>
  <c r="D50" i="24"/>
  <c r="E38" i="23"/>
  <c r="E41" i="23" s="1"/>
  <c r="D41" i="23" s="1"/>
  <c r="E39" i="23"/>
  <c r="D50" i="23"/>
  <c r="D50" i="22"/>
  <c r="E38" i="22"/>
  <c r="E41" i="22" s="1"/>
  <c r="D41" i="22" s="1"/>
  <c r="E39" i="22"/>
  <c r="E37" i="32" l="1"/>
  <c r="D50" i="32" s="1"/>
  <c r="E39" i="31"/>
  <c r="D50" i="31"/>
  <c r="E39" i="29"/>
  <c r="D50" i="29"/>
  <c r="E39" i="32" l="1"/>
  <c r="E38" i="32"/>
  <c r="E41" i="32" s="1"/>
  <c r="D41" i="32" s="1"/>
  <c r="E47" i="21"/>
  <c r="E49" i="21" s="1"/>
  <c r="E46" i="21"/>
  <c r="E45" i="21"/>
  <c r="E44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7" i="21"/>
  <c r="E16" i="21"/>
  <c r="E13" i="21"/>
  <c r="E12" i="21"/>
  <c r="E11" i="21"/>
  <c r="E10" i="21"/>
  <c r="E9" i="21"/>
  <c r="E8" i="21"/>
  <c r="D3" i="21"/>
  <c r="D2" i="21"/>
  <c r="E35" i="21" l="1"/>
  <c r="E14" i="21"/>
  <c r="E37" i="21"/>
  <c r="D50" i="21" s="1"/>
  <c r="E39" i="21" l="1"/>
  <c r="E38" i="21"/>
  <c r="E41" i="21" s="1"/>
  <c r="D41" i="21" s="1"/>
  <c r="D51" i="17" l="1"/>
  <c r="D41" i="17"/>
  <c r="E47" i="19" l="1"/>
  <c r="E46" i="19"/>
  <c r="E45" i="19"/>
  <c r="E44" i="19"/>
  <c r="E49" i="19" s="1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7" i="19"/>
  <c r="E16" i="19"/>
  <c r="E13" i="19"/>
  <c r="E14" i="19" s="1"/>
  <c r="E12" i="19"/>
  <c r="E11" i="19"/>
  <c r="E10" i="19"/>
  <c r="E9" i="19"/>
  <c r="E8" i="19"/>
  <c r="D3" i="19"/>
  <c r="D2" i="19"/>
  <c r="E49" i="18"/>
  <c r="E47" i="18"/>
  <c r="E46" i="18"/>
  <c r="E45" i="18"/>
  <c r="E44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7" i="18"/>
  <c r="E16" i="18"/>
  <c r="E13" i="18"/>
  <c r="E12" i="18"/>
  <c r="E11" i="18"/>
  <c r="E14" i="18" s="1"/>
  <c r="E10" i="18"/>
  <c r="E9" i="18"/>
  <c r="E8" i="18"/>
  <c r="D3" i="18"/>
  <c r="D2" i="18"/>
  <c r="E35" i="18" l="1"/>
  <c r="E35" i="19"/>
  <c r="E37" i="19"/>
  <c r="E38" i="19" s="1"/>
  <c r="E41" i="19" s="1"/>
  <c r="D41" i="19" s="1"/>
  <c r="E37" i="18" l="1"/>
  <c r="D50" i="18" s="1"/>
  <c r="D50" i="19"/>
  <c r="E39" i="19"/>
  <c r="E38" i="18" l="1"/>
  <c r="E41" i="18" s="1"/>
  <c r="D41" i="18" s="1"/>
  <c r="E39" i="18"/>
  <c r="E47" i="17"/>
  <c r="E46" i="17"/>
  <c r="E45" i="17"/>
  <c r="E44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7" i="17"/>
  <c r="E16" i="17"/>
  <c r="E13" i="17"/>
  <c r="E12" i="17"/>
  <c r="E11" i="17"/>
  <c r="E10" i="17"/>
  <c r="E9" i="17"/>
  <c r="E8" i="17"/>
  <c r="D3" i="17"/>
  <c r="D2" i="17"/>
  <c r="E35" i="17" l="1"/>
  <c r="E49" i="17"/>
  <c r="E14" i="17"/>
  <c r="E37" i="17" s="1"/>
  <c r="E39" i="17" l="1"/>
  <c r="D50" i="17"/>
  <c r="E38" i="17"/>
  <c r="E41" i="17" s="1"/>
  <c r="B9" i="12" l="1"/>
  <c r="E47" i="16" l="1"/>
  <c r="E46" i="16"/>
  <c r="E45" i="16"/>
  <c r="E44" i="16"/>
  <c r="E49" i="16" s="1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7" i="16"/>
  <c r="E16" i="16"/>
  <c r="E13" i="16"/>
  <c r="E12" i="16"/>
  <c r="E11" i="16"/>
  <c r="E10" i="16"/>
  <c r="E9" i="16"/>
  <c r="E8" i="16"/>
  <c r="D3" i="16"/>
  <c r="D2" i="16"/>
  <c r="E47" i="14"/>
  <c r="E46" i="14"/>
  <c r="E45" i="14"/>
  <c r="E44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7" i="14"/>
  <c r="E16" i="14"/>
  <c r="E13" i="14"/>
  <c r="E12" i="14"/>
  <c r="E11" i="14"/>
  <c r="E10" i="14"/>
  <c r="E9" i="14"/>
  <c r="E8" i="14"/>
  <c r="D3" i="14"/>
  <c r="D2" i="14"/>
  <c r="E35" i="16" l="1"/>
  <c r="E14" i="16"/>
  <c r="E37" i="16"/>
  <c r="D50" i="16" s="1"/>
  <c r="E49" i="14"/>
  <c r="E35" i="14"/>
  <c r="E14" i="14"/>
  <c r="E39" i="16" l="1"/>
  <c r="E38" i="16"/>
  <c r="E41" i="16" s="1"/>
  <c r="D41" i="16" s="1"/>
  <c r="E37" i="14"/>
  <c r="E38" i="14" s="1"/>
  <c r="E41" i="14" s="1"/>
  <c r="D41" i="14" s="1"/>
  <c r="D50" i="14" l="1"/>
  <c r="E39" i="14"/>
  <c r="E47" i="13" l="1"/>
  <c r="E46" i="13"/>
  <c r="E45" i="13"/>
  <c r="E44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7" i="13"/>
  <c r="E16" i="13"/>
  <c r="E13" i="13"/>
  <c r="E12" i="13"/>
  <c r="E11" i="13"/>
  <c r="E10" i="13"/>
  <c r="E9" i="13"/>
  <c r="E8" i="13"/>
  <c r="D3" i="13"/>
  <c r="D2" i="13"/>
  <c r="E47" i="12"/>
  <c r="E46" i="12"/>
  <c r="E45" i="12"/>
  <c r="E44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7" i="12"/>
  <c r="E16" i="12"/>
  <c r="E13" i="12"/>
  <c r="E12" i="12"/>
  <c r="E11" i="12"/>
  <c r="E10" i="12"/>
  <c r="E9" i="12"/>
  <c r="E8" i="12"/>
  <c r="D3" i="12"/>
  <c r="D2" i="12"/>
  <c r="E14" i="12" l="1"/>
  <c r="E49" i="13"/>
  <c r="E35" i="13"/>
  <c r="E14" i="13"/>
  <c r="E49" i="12"/>
  <c r="E35" i="12"/>
  <c r="E37" i="12" s="1"/>
  <c r="E47" i="11"/>
  <c r="E46" i="11"/>
  <c r="E45" i="11"/>
  <c r="E44" i="11"/>
  <c r="E49" i="11" s="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7" i="11"/>
  <c r="E16" i="11"/>
  <c r="E13" i="11"/>
  <c r="E12" i="11"/>
  <c r="E11" i="11"/>
  <c r="E10" i="11"/>
  <c r="E9" i="11"/>
  <c r="E8" i="11"/>
  <c r="D3" i="11"/>
  <c r="D2" i="11"/>
  <c r="E47" i="10"/>
  <c r="E46" i="10"/>
  <c r="E45" i="10"/>
  <c r="E44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7" i="10"/>
  <c r="E16" i="10"/>
  <c r="E13" i="10"/>
  <c r="E12" i="10"/>
  <c r="E11" i="10"/>
  <c r="E10" i="10"/>
  <c r="E9" i="10"/>
  <c r="E8" i="10"/>
  <c r="D3" i="10"/>
  <c r="D2" i="10"/>
  <c r="E47" i="9"/>
  <c r="E46" i="9"/>
  <c r="E45" i="9"/>
  <c r="E44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7" i="9"/>
  <c r="E16" i="9"/>
  <c r="E13" i="9"/>
  <c r="E12" i="9"/>
  <c r="E11" i="9"/>
  <c r="E10" i="9"/>
  <c r="E9" i="9"/>
  <c r="E8" i="9"/>
  <c r="D3" i="9"/>
  <c r="D2" i="9"/>
  <c r="E47" i="8"/>
  <c r="E46" i="8"/>
  <c r="E45" i="8"/>
  <c r="E44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7" i="8"/>
  <c r="E16" i="8"/>
  <c r="E13" i="8"/>
  <c r="E12" i="8"/>
  <c r="E11" i="8"/>
  <c r="E10" i="8"/>
  <c r="E9" i="8"/>
  <c r="E8" i="8"/>
  <c r="D3" i="8"/>
  <c r="D2" i="8"/>
  <c r="E47" i="7"/>
  <c r="E46" i="7"/>
  <c r="E45" i="7"/>
  <c r="E44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7" i="7"/>
  <c r="E16" i="7"/>
  <c r="E13" i="7"/>
  <c r="E12" i="7"/>
  <c r="E11" i="7"/>
  <c r="E10" i="7"/>
  <c r="E9" i="7"/>
  <c r="E8" i="7"/>
  <c r="D3" i="7"/>
  <c r="D2" i="7"/>
  <c r="E47" i="6"/>
  <c r="E46" i="6"/>
  <c r="E45" i="6"/>
  <c r="E44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7" i="6"/>
  <c r="E16" i="6"/>
  <c r="E13" i="6"/>
  <c r="E12" i="6"/>
  <c r="E11" i="6"/>
  <c r="E10" i="6"/>
  <c r="E9" i="6"/>
  <c r="E8" i="6"/>
  <c r="D3" i="6"/>
  <c r="D2" i="6"/>
  <c r="E47" i="5"/>
  <c r="E46" i="5"/>
  <c r="E45" i="5"/>
  <c r="E44" i="5"/>
  <c r="E49" i="5" s="1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7" i="5"/>
  <c r="E16" i="5"/>
  <c r="E13" i="5"/>
  <c r="E14" i="5" s="1"/>
  <c r="E12" i="5"/>
  <c r="E11" i="5"/>
  <c r="E10" i="5"/>
  <c r="E9" i="5"/>
  <c r="E8" i="5"/>
  <c r="D3" i="5"/>
  <c r="D2" i="5"/>
  <c r="E14" i="10" l="1"/>
  <c r="E14" i="11"/>
  <c r="E37" i="13"/>
  <c r="D50" i="13" s="1"/>
  <c r="E35" i="5"/>
  <c r="D50" i="12"/>
  <c r="E39" i="12"/>
  <c r="E38" i="12"/>
  <c r="E41" i="12" s="1"/>
  <c r="D41" i="12" s="1"/>
  <c r="E35" i="11"/>
  <c r="E37" i="11" s="1"/>
  <c r="E38" i="11" s="1"/>
  <c r="E41" i="11" s="1"/>
  <c r="D41" i="11" s="1"/>
  <c r="E49" i="10"/>
  <c r="E35" i="10"/>
  <c r="E37" i="10" s="1"/>
  <c r="E38" i="10" s="1"/>
  <c r="E41" i="10" s="1"/>
  <c r="D41" i="10" s="1"/>
  <c r="E35" i="8"/>
  <c r="E37" i="8" s="1"/>
  <c r="E38" i="8" s="1"/>
  <c r="E41" i="8" s="1"/>
  <c r="D41" i="8" s="1"/>
  <c r="E35" i="9"/>
  <c r="E37" i="9" s="1"/>
  <c r="E49" i="9"/>
  <c r="E14" i="9"/>
  <c r="E49" i="8"/>
  <c r="E14" i="8"/>
  <c r="E14" i="7"/>
  <c r="E35" i="7"/>
  <c r="E49" i="7"/>
  <c r="E35" i="6"/>
  <c r="E49" i="6"/>
  <c r="E14" i="6"/>
  <c r="E37" i="6" s="1"/>
  <c r="E38" i="6" s="1"/>
  <c r="E41" i="6" s="1"/>
  <c r="D41" i="6" s="1"/>
  <c r="E37" i="5"/>
  <c r="E38" i="5" s="1"/>
  <c r="E41" i="5" s="1"/>
  <c r="D41" i="5" s="1"/>
  <c r="E38" i="13" l="1"/>
  <c r="E41" i="13" s="1"/>
  <c r="D41" i="13" s="1"/>
  <c r="E39" i="13"/>
  <c r="D50" i="11"/>
  <c r="E39" i="11"/>
  <c r="D50" i="10"/>
  <c r="E39" i="10"/>
  <c r="D50" i="9"/>
  <c r="E38" i="9"/>
  <c r="E41" i="9" s="1"/>
  <c r="D41" i="9" s="1"/>
  <c r="E39" i="9"/>
  <c r="D50" i="8"/>
  <c r="E39" i="8"/>
  <c r="E37" i="7"/>
  <c r="E38" i="7" s="1"/>
  <c r="E41" i="7" s="1"/>
  <c r="D41" i="7" s="1"/>
  <c r="D50" i="6"/>
  <c r="E39" i="6"/>
  <c r="E39" i="5"/>
  <c r="D50" i="5"/>
  <c r="D50" i="7" l="1"/>
  <c r="E39" i="7"/>
  <c r="E47" i="4" l="1"/>
  <c r="E46" i="4"/>
  <c r="E45" i="4"/>
  <c r="E44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35" i="4" s="1"/>
  <c r="E17" i="4"/>
  <c r="E16" i="4"/>
  <c r="E13" i="4"/>
  <c r="E12" i="4"/>
  <c r="E11" i="4"/>
  <c r="E10" i="4"/>
  <c r="E9" i="4"/>
  <c r="E8" i="4"/>
  <c r="D3" i="4"/>
  <c r="D2" i="4"/>
  <c r="E47" i="3"/>
  <c r="E46" i="3"/>
  <c r="E45" i="3"/>
  <c r="E49" i="3" s="1"/>
  <c r="E44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7" i="3"/>
  <c r="E16" i="3"/>
  <c r="E13" i="3"/>
  <c r="E12" i="3"/>
  <c r="E11" i="3"/>
  <c r="E10" i="3"/>
  <c r="E9" i="3"/>
  <c r="E8" i="3"/>
  <c r="D3" i="3"/>
  <c r="D2" i="3"/>
  <c r="E49" i="4" l="1"/>
  <c r="E14" i="4"/>
  <c r="E37" i="4"/>
  <c r="E38" i="4" s="1"/>
  <c r="E41" i="4" s="1"/>
  <c r="D41" i="4" s="1"/>
  <c r="E35" i="3"/>
  <c r="E14" i="3"/>
  <c r="E37" i="3" s="1"/>
  <c r="E47" i="2"/>
  <c r="E46" i="2"/>
  <c r="E45" i="2"/>
  <c r="E44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7" i="2"/>
  <c r="E16" i="2"/>
  <c r="E13" i="2"/>
  <c r="E12" i="2"/>
  <c r="E11" i="2"/>
  <c r="E10" i="2"/>
  <c r="E9" i="2"/>
  <c r="E8" i="2"/>
  <c r="D3" i="2"/>
  <c r="D2" i="2"/>
  <c r="E47" i="1"/>
  <c r="E46" i="1"/>
  <c r="E45" i="1"/>
  <c r="E49" i="1" s="1"/>
  <c r="E44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3" i="1"/>
  <c r="E12" i="1"/>
  <c r="E11" i="1"/>
  <c r="E10" i="1"/>
  <c r="E9" i="1"/>
  <c r="E8" i="1"/>
  <c r="D3" i="1"/>
  <c r="D2" i="1"/>
  <c r="E49" i="2" l="1"/>
  <c r="D50" i="4"/>
  <c r="E39" i="4"/>
  <c r="D50" i="3"/>
  <c r="E38" i="3"/>
  <c r="E41" i="3" s="1"/>
  <c r="D41" i="3" s="1"/>
  <c r="E39" i="3"/>
  <c r="E14" i="2"/>
  <c r="E35" i="2"/>
  <c r="E14" i="1"/>
  <c r="E35" i="1"/>
  <c r="E37" i="1" l="1"/>
  <c r="E38" i="1" s="1"/>
  <c r="E41" i="1" s="1"/>
  <c r="D41" i="1" s="1"/>
  <c r="E37" i="2"/>
  <c r="E38" i="2" s="1"/>
  <c r="E41" i="2" s="1"/>
  <c r="D41" i="2" s="1"/>
  <c r="D50" i="1" l="1"/>
  <c r="E39" i="1"/>
  <c r="E39" i="2"/>
  <c r="D50" i="2"/>
</calcChain>
</file>

<file path=xl/sharedStrings.xml><?xml version="1.0" encoding="utf-8"?>
<sst xmlns="http://schemas.openxmlformats.org/spreadsheetml/2006/main" count="1718" uniqueCount="171">
  <si>
    <t>QTY</t>
  </si>
  <si>
    <t>RATE</t>
  </si>
  <si>
    <t>SALE</t>
  </si>
  <si>
    <t>PURCHASE</t>
  </si>
  <si>
    <t>ORDER PCS</t>
  </si>
  <si>
    <t>DISPATCH PCS</t>
  </si>
  <si>
    <t>FABRIC ORDER</t>
  </si>
  <si>
    <t>CONSUPMTION</t>
  </si>
  <si>
    <t>tassel with coin</t>
  </si>
  <si>
    <t>trims 6</t>
  </si>
  <si>
    <t>trims 7</t>
  </si>
  <si>
    <t>Total fabric cost</t>
  </si>
  <si>
    <t>CMT</t>
  </si>
  <si>
    <t>TRIMS</t>
  </si>
  <si>
    <t>main label</t>
  </si>
  <si>
    <t>size label</t>
  </si>
  <si>
    <t>wash care</t>
  </si>
  <si>
    <t>flag label</t>
  </si>
  <si>
    <t>wooden button</t>
  </si>
  <si>
    <t>size sticker</t>
  </si>
  <si>
    <t>Price tag</t>
  </si>
  <si>
    <t>prepack stickers</t>
  </si>
  <si>
    <t>match it tag</t>
  </si>
  <si>
    <t>polybag rfid</t>
  </si>
  <si>
    <t>rfid poly bag</t>
  </si>
  <si>
    <t>carton</t>
  </si>
  <si>
    <t>master polybag</t>
  </si>
  <si>
    <t>carton sticker</t>
  </si>
  <si>
    <t>freight</t>
  </si>
  <si>
    <t>hardtags</t>
  </si>
  <si>
    <t>total trims cost</t>
  </si>
  <si>
    <t>LD CHARGES</t>
  </si>
  <si>
    <t>Total Cost</t>
  </si>
  <si>
    <t>Cost per pc</t>
  </si>
  <si>
    <t>PROFIT</t>
  </si>
  <si>
    <t>PER PC PROFIT</t>
  </si>
  <si>
    <t>profit %</t>
  </si>
  <si>
    <t xml:space="preserve">REJECT </t>
  </si>
  <si>
    <t xml:space="preserve">FABRIC - "A" --- plain </t>
  </si>
  <si>
    <t>FABRIC - "B"</t>
  </si>
  <si>
    <t>GARMENT - "B"</t>
  </si>
  <si>
    <t>GARMENT - "A"</t>
  </si>
  <si>
    <t>Total Value Loss</t>
  </si>
  <si>
    <t>% value loss</t>
  </si>
  <si>
    <t>65424 - WHITE</t>
  </si>
  <si>
    <t>natural cotton flex</t>
  </si>
  <si>
    <t>lace</t>
  </si>
  <si>
    <t>EMB</t>
  </si>
  <si>
    <t>68119 - lilac</t>
  </si>
  <si>
    <t>65440- lilac</t>
  </si>
  <si>
    <t>fabric received - 1427 mtr</t>
  </si>
  <si>
    <t>pcs cut - 1169</t>
  </si>
  <si>
    <t>cotton slub solid</t>
  </si>
  <si>
    <t>rayon slub printed</t>
  </si>
  <si>
    <t>cotton flex solid</t>
  </si>
  <si>
    <t>65432- lilac</t>
  </si>
  <si>
    <t>FABRIC REC- 2207MTR</t>
  </si>
  <si>
    <t>CUT QNTY-1592PCS</t>
  </si>
  <si>
    <t>YETKRTSCUT5052</t>
  </si>
  <si>
    <t>40X30s COTTON  Greige</t>
  </si>
  <si>
    <t xml:space="preserve">40x30sCOTTON  finished printing </t>
  </si>
  <si>
    <t>yoke+sleeves</t>
  </si>
  <si>
    <t xml:space="preserve">frieght </t>
  </si>
  <si>
    <t>79062 - off white</t>
  </si>
  <si>
    <t>cotton flex white</t>
  </si>
  <si>
    <t>fabric rec-2772mtr</t>
  </si>
  <si>
    <t>cut pcs - 1827pcs</t>
  </si>
  <si>
    <t>scallop</t>
  </si>
  <si>
    <t>6105 - mustard</t>
  </si>
  <si>
    <t>pst finished</t>
  </si>
  <si>
    <t>gadhwal emb neck mtr</t>
  </si>
  <si>
    <t>gadhwal emb sleeve mtr</t>
  </si>
  <si>
    <t>photo tag</t>
  </si>
  <si>
    <t>6210 - gold</t>
  </si>
  <si>
    <t>pst emb yoke + sleeve</t>
  </si>
  <si>
    <t>gadhwal finished</t>
  </si>
  <si>
    <t>6204 - green</t>
  </si>
  <si>
    <t>gadhwal palla emb with sleeve</t>
  </si>
  <si>
    <t>6087 - coral</t>
  </si>
  <si>
    <t>pst palla emb</t>
  </si>
  <si>
    <t>sleeve emb</t>
  </si>
  <si>
    <t>6012 - maroon</t>
  </si>
  <si>
    <t xml:space="preserve">button </t>
  </si>
  <si>
    <t>tassels</t>
  </si>
  <si>
    <t>YETKRTSCUT5053 - blue</t>
  </si>
  <si>
    <t>fabric rec by factory - 13118 mtr</t>
  </si>
  <si>
    <t>cut qnty - 8549pcs</t>
  </si>
  <si>
    <t>ship qnty - 8501pcs</t>
  </si>
  <si>
    <t>YETKRTSCUT5056 - blue</t>
  </si>
  <si>
    <t>fabric rec by factory - 12256 mtr</t>
  </si>
  <si>
    <t>ship qnty - 8217pcs</t>
  </si>
  <si>
    <t>cut qnty - 8281pcs</t>
  </si>
  <si>
    <t>YETKRTSCUT5060 - blue</t>
  </si>
  <si>
    <t>cut qnty - 8091pcs</t>
  </si>
  <si>
    <t>lace neck</t>
  </si>
  <si>
    <t>lace sleeve</t>
  </si>
  <si>
    <t>fabric rec by factory - 11975 mtr</t>
  </si>
  <si>
    <t>fabric rec by factory - 12328 mtr</t>
  </si>
  <si>
    <t>total mtr - 15188mtr</t>
  </si>
  <si>
    <t>myntra - 600 mtr fabric</t>
  </si>
  <si>
    <t xml:space="preserve">rejected printing dagi -800 mtr </t>
  </si>
  <si>
    <t>myntra - 700mtr</t>
  </si>
  <si>
    <t>YETKRTSCUT5059 - CREAM</t>
  </si>
  <si>
    <t>YETKRTSCUT5008 - Fuchsia</t>
  </si>
  <si>
    <t>fabric rec - 10963 mtr</t>
  </si>
  <si>
    <t>fabric used-10806 mtr</t>
  </si>
  <si>
    <t>cut qnty - 7156pcs</t>
  </si>
  <si>
    <t>Cotton Slub Greige</t>
  </si>
  <si>
    <t>emb neck &amp; sleeve</t>
  </si>
  <si>
    <t>YETKRTSCUT5008 - Off white</t>
  </si>
  <si>
    <t>cut pcs 7891pcs</t>
  </si>
  <si>
    <t>mtr received 11991</t>
  </si>
  <si>
    <t>fabric rec by factory - 6106 mtr</t>
  </si>
  <si>
    <t>ship qnty - 4002pcs</t>
  </si>
  <si>
    <t>used - 5168 mtr</t>
  </si>
  <si>
    <t>cut qnty - 4025pcs</t>
  </si>
  <si>
    <t>TOTAL ---</t>
  </si>
  <si>
    <t>YETKRTSCUT5008 - BLACK</t>
  </si>
  <si>
    <t>cut pcs 9053pcs</t>
  </si>
  <si>
    <t>YETKRTSFUT4045 - BLACK</t>
  </si>
  <si>
    <t>emb</t>
  </si>
  <si>
    <t>YETKRTSFUT4049 - off white</t>
  </si>
  <si>
    <t>fabric rec by utm - 11007mtr</t>
  </si>
  <si>
    <t>shortage - 37pcs</t>
  </si>
  <si>
    <t>pcs cut by utm - 5910</t>
  </si>
  <si>
    <t>emb neck mtr</t>
  </si>
  <si>
    <t>emb sleeve</t>
  </si>
  <si>
    <t xml:space="preserve">YETKRTSFUT4073 </t>
  </si>
  <si>
    <t>fabric rec by utm - 10617 mtr</t>
  </si>
  <si>
    <t>shortage -  59pcs</t>
  </si>
  <si>
    <t>pcs cut by utm - 5780</t>
  </si>
  <si>
    <t>YETKRTSCUT5004 - MUSTARD</t>
  </si>
  <si>
    <t>fabric rec by abt - 12568 mtr</t>
  </si>
  <si>
    <t>pcs cut by utm - 7910</t>
  </si>
  <si>
    <t>fent - 350mtr</t>
  </si>
  <si>
    <t>emb katha work</t>
  </si>
  <si>
    <t>YETKRTSFUT4112 - beige</t>
  </si>
  <si>
    <t>poly cotton  Greige</t>
  </si>
  <si>
    <t xml:space="preserve">polycotton  finished printing </t>
  </si>
  <si>
    <t>polycotton front emb</t>
  </si>
  <si>
    <t>tassal</t>
  </si>
  <si>
    <t>??</t>
  </si>
  <si>
    <t>YETKRTSFUT4113 -peach</t>
  </si>
  <si>
    <t>cut-5778</t>
  </si>
  <si>
    <t>dis-5668</t>
  </si>
  <si>
    <t>RETKRTSFUT4233 -lt. blue</t>
  </si>
  <si>
    <t>cut-5825</t>
  </si>
  <si>
    <t>dis-5689</t>
  </si>
  <si>
    <t>emb neck&amp; sleeve</t>
  </si>
  <si>
    <t xml:space="preserve">YETKRTSCUT5007 - black </t>
  </si>
  <si>
    <t>printed fabric</t>
  </si>
  <si>
    <t>YETKRTSCUT5009 - FUCHSIA</t>
  </si>
  <si>
    <t>YETKRTSCUT5009 -  BLACK</t>
  </si>
  <si>
    <t>YETKRTSCUT5008 - RUST</t>
  </si>
  <si>
    <t>mtr received 12113 MTR</t>
  </si>
  <si>
    <t>cut pcs 8133pcs</t>
  </si>
  <si>
    <t>used - 12037 mtr</t>
  </si>
  <si>
    <t>YETKRTSCUT5008 - SAGE GREEN</t>
  </si>
  <si>
    <t>cut pcs 7125pcs</t>
  </si>
  <si>
    <t>used - 10759 mtr</t>
  </si>
  <si>
    <t>mtr received 11379 MTR</t>
  </si>
  <si>
    <t>YETKRTSCUT5008 - MUSTARD</t>
  </si>
  <si>
    <t>cut pcs 7617pcs</t>
  </si>
  <si>
    <t>used - 11502 mtr</t>
  </si>
  <si>
    <t>mtr received 12403 MTR</t>
  </si>
  <si>
    <t xml:space="preserve">Pst foil print all over </t>
  </si>
  <si>
    <t xml:space="preserve">couching emb </t>
  </si>
  <si>
    <t>6106 - beige</t>
  </si>
  <si>
    <t xml:space="preserve">6206 - teal </t>
  </si>
  <si>
    <t>pst solid</t>
  </si>
  <si>
    <t>pst 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</si>
</sst>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1F1F1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2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2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2" fontId="2" fillId="2" borderId="7" xfId="0" applyNumberFormat="1" applyFont="1" applyFill="1" applyBorder="1" applyAlignment="1">
      <alignment horizontal="right"/>
    </xf>
    <xf numFmtId="2" fontId="2" fillId="2" borderId="3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2" fontId="2" fillId="2" borderId="12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2" fontId="5" fillId="0" borderId="13" xfId="0" applyNumberFormat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" fontId="3" fillId="0" borderId="0" xfId="0" applyNumberFormat="1" applyFont="1"/>
    <xf numFmtId="2" fontId="3" fillId="0" borderId="0" xfId="0" applyNumberFormat="1" applyFont="1"/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2" fontId="2" fillId="2" borderId="16" xfId="0" applyNumberFormat="1" applyFont="1" applyFill="1" applyBorder="1" applyAlignment="1">
      <alignment horizontal="right"/>
    </xf>
    <xf numFmtId="0" fontId="6" fillId="2" borderId="16" xfId="0" applyFont="1" applyFill="1" applyBorder="1"/>
    <xf numFmtId="10" fontId="0" fillId="0" borderId="0" xfId="0" applyNumberFormat="1"/>
    <xf numFmtId="2" fontId="3" fillId="0" borderId="1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9E4A-F6B0-49DA-8F74-E9BE27FAAF56}">
  <dimension ref="A1:E54"/>
  <sheetViews>
    <sheetView workbookViewId="0">
      <selection activeCell="C19" sqref="C19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119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</row>
    <row r="3" spans="1:5" x14ac:dyDescent="0.35">
      <c r="A3" s="3" t="s">
        <v>5</v>
      </c>
      <c r="B3" s="4">
        <v>5841</v>
      </c>
      <c r="C3" s="5">
        <v>320</v>
      </c>
      <c r="D3" s="5">
        <f>C3*B3</f>
        <v>1869120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1.7</v>
      </c>
      <c r="C7" s="5"/>
      <c r="D7" s="4"/>
      <c r="E7" s="6"/>
    </row>
    <row r="8" spans="1:5" x14ac:dyDescent="0.35">
      <c r="A8" s="3" t="s">
        <v>59</v>
      </c>
      <c r="B8" s="5">
        <v>10650</v>
      </c>
      <c r="C8" s="5">
        <v>46.5</v>
      </c>
      <c r="D8" s="4"/>
      <c r="E8" s="8">
        <f>C8*B8</f>
        <v>495225</v>
      </c>
    </row>
    <row r="9" spans="1:5" x14ac:dyDescent="0.35">
      <c r="A9" s="3" t="s">
        <v>60</v>
      </c>
      <c r="B9" s="5">
        <v>10636</v>
      </c>
      <c r="C9" s="5">
        <v>23</v>
      </c>
      <c r="D9" s="4"/>
      <c r="E9" s="8">
        <f>C9*B9</f>
        <v>244628</v>
      </c>
    </row>
    <row r="10" spans="1:5" x14ac:dyDescent="0.35">
      <c r="A10" s="3" t="s">
        <v>120</v>
      </c>
      <c r="B10" s="5">
        <v>5841</v>
      </c>
      <c r="C10" s="9">
        <v>38</v>
      </c>
      <c r="D10" s="4"/>
      <c r="E10" s="8">
        <f>C10*B10</f>
        <v>221958</v>
      </c>
    </row>
    <row r="11" spans="1:5" x14ac:dyDescent="0.35">
      <c r="A11" s="3" t="s">
        <v>8</v>
      </c>
      <c r="B11" s="5">
        <v>17619</v>
      </c>
      <c r="C11" s="9">
        <v>3</v>
      </c>
      <c r="D11" s="4"/>
      <c r="E11" s="8">
        <f>C11*B11</f>
        <v>52857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1014668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5841</v>
      </c>
      <c r="C16" s="5">
        <v>69.5</v>
      </c>
      <c r="D16" s="4"/>
      <c r="E16" s="10">
        <f>C16*B16</f>
        <v>405949.5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5841</v>
      </c>
      <c r="C19" s="12">
        <v>0.55000000000000004</v>
      </c>
      <c r="D19" s="4"/>
      <c r="E19" s="8">
        <f t="shared" ref="E19:E34" si="0">C19*B19</f>
        <v>3212.55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5900</v>
      </c>
      <c r="C21" s="12">
        <v>0.39</v>
      </c>
      <c r="D21" s="4"/>
      <c r="E21" s="8">
        <f t="shared" si="0"/>
        <v>2301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5841</v>
      </c>
      <c r="C24" s="12">
        <v>0.75</v>
      </c>
      <c r="D24" s="4"/>
      <c r="E24" s="8">
        <f t="shared" si="0"/>
        <v>4380.75</v>
      </c>
    </row>
    <row r="25" spans="1:5" ht="15.5" x14ac:dyDescent="0.35">
      <c r="A25" s="3" t="s">
        <v>20</v>
      </c>
      <c r="B25" s="4">
        <v>5900</v>
      </c>
      <c r="C25" s="12">
        <v>1.75</v>
      </c>
      <c r="D25" s="4"/>
      <c r="E25" s="8">
        <f t="shared" si="0"/>
        <v>10325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0"/>
        <v>325.20000000000005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5841</v>
      </c>
      <c r="C28" s="12">
        <v>1.92</v>
      </c>
      <c r="D28" s="4"/>
      <c r="E28" s="8">
        <f t="shared" si="0"/>
        <v>11214.72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104</v>
      </c>
      <c r="C30" s="5">
        <v>67</v>
      </c>
      <c r="D30" s="4"/>
      <c r="E30" s="8">
        <f t="shared" si="0"/>
        <v>6968</v>
      </c>
    </row>
    <row r="31" spans="1:5" x14ac:dyDescent="0.35">
      <c r="A31" s="3" t="s">
        <v>26</v>
      </c>
      <c r="B31" s="4">
        <v>813</v>
      </c>
      <c r="C31" s="5">
        <v>6.75</v>
      </c>
      <c r="D31" s="4"/>
      <c r="E31" s="8">
        <f t="shared" si="0"/>
        <v>5487.75</v>
      </c>
    </row>
    <row r="32" spans="1:5" x14ac:dyDescent="0.35">
      <c r="A32" s="3" t="s">
        <v>27</v>
      </c>
      <c r="B32" s="4">
        <v>1</v>
      </c>
      <c r="C32" s="5">
        <v>0.6</v>
      </c>
      <c r="D32" s="4"/>
      <c r="E32" s="8">
        <f>C32*B32</f>
        <v>0.6</v>
      </c>
    </row>
    <row r="33" spans="1:5" x14ac:dyDescent="0.35">
      <c r="A33" s="3" t="s">
        <v>28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44219.57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1464837.07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250.78532271871256</v>
      </c>
    </row>
    <row r="39" spans="1:5" x14ac:dyDescent="0.35">
      <c r="A39" s="14" t="s">
        <v>34</v>
      </c>
      <c r="B39" s="15"/>
      <c r="C39" s="16"/>
      <c r="D39" s="17"/>
      <c r="E39" s="18">
        <f>D3-E37</f>
        <v>404282.92999999993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21.629586650402324</v>
      </c>
      <c r="E41" s="28">
        <f>C3-E38</f>
        <v>69.214677281287436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74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7813-98EC-401D-A8BB-5EA5BE2AB143}">
  <dimension ref="A1:G54"/>
  <sheetViews>
    <sheetView workbookViewId="0">
      <selection activeCell="C17" sqref="C1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121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  <c r="G2" t="s">
        <v>122</v>
      </c>
    </row>
    <row r="3" spans="1:7" x14ac:dyDescent="0.35">
      <c r="A3" s="3" t="s">
        <v>5</v>
      </c>
      <c r="B3" s="4">
        <v>5873</v>
      </c>
      <c r="C3" s="5">
        <v>320</v>
      </c>
      <c r="D3" s="5">
        <f>C3*B3</f>
        <v>1879360</v>
      </c>
      <c r="E3" s="6"/>
      <c r="G3" t="s">
        <v>123</v>
      </c>
    </row>
    <row r="4" spans="1:7" x14ac:dyDescent="0.35">
      <c r="A4" s="3"/>
      <c r="B4" s="5"/>
      <c r="C4" s="5"/>
      <c r="D4" s="5"/>
      <c r="E4" s="6"/>
      <c r="G4" t="s">
        <v>124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1.68</v>
      </c>
      <c r="C7" s="5"/>
      <c r="D7" s="4"/>
      <c r="E7" s="6"/>
    </row>
    <row r="8" spans="1:7" x14ac:dyDescent="0.35">
      <c r="A8" s="3" t="s">
        <v>59</v>
      </c>
      <c r="B8" s="5">
        <v>11750</v>
      </c>
      <c r="C8" s="5">
        <v>46.5</v>
      </c>
      <c r="D8" s="4"/>
      <c r="E8" s="8">
        <f>C8*B8</f>
        <v>546375</v>
      </c>
    </row>
    <row r="9" spans="1:7" x14ac:dyDescent="0.35">
      <c r="A9" s="3" t="s">
        <v>60</v>
      </c>
      <c r="B9" s="5">
        <v>11607</v>
      </c>
      <c r="C9" s="5">
        <v>21</v>
      </c>
      <c r="D9" s="4"/>
      <c r="E9" s="8">
        <f>C9*B9</f>
        <v>243747</v>
      </c>
    </row>
    <row r="10" spans="1:7" x14ac:dyDescent="0.35">
      <c r="A10" s="3" t="s">
        <v>125</v>
      </c>
      <c r="B10" s="5">
        <v>5480</v>
      </c>
      <c r="C10" s="9">
        <v>39</v>
      </c>
      <c r="D10" s="4"/>
      <c r="E10" s="8">
        <f>C10*B10</f>
        <v>213720</v>
      </c>
    </row>
    <row r="11" spans="1:7" x14ac:dyDescent="0.35">
      <c r="A11" s="3" t="s">
        <v>126</v>
      </c>
      <c r="B11" s="5">
        <v>4472</v>
      </c>
      <c r="C11" s="5">
        <v>10</v>
      </c>
      <c r="D11" s="4"/>
      <c r="E11" s="8">
        <f>C11*B11</f>
        <v>44720</v>
      </c>
    </row>
    <row r="12" spans="1:7" x14ac:dyDescent="0.35">
      <c r="A12" s="3" t="s">
        <v>46</v>
      </c>
      <c r="B12" s="5">
        <v>14900</v>
      </c>
      <c r="C12" s="9">
        <v>2.5</v>
      </c>
      <c r="D12" s="4"/>
      <c r="E12" s="8">
        <f>C12*B12</f>
        <v>37250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1085812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5873</v>
      </c>
      <c r="C16" s="5">
        <v>65.2</v>
      </c>
      <c r="D16" s="4"/>
      <c r="E16" s="10">
        <f>C16*B16</f>
        <v>382919.60000000003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5873</v>
      </c>
      <c r="C19" s="12">
        <v>0.55000000000000004</v>
      </c>
      <c r="D19" s="4"/>
      <c r="E19" s="8">
        <f t="shared" ref="E19:E34" si="0">C19*B19</f>
        <v>3230.15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0"/>
        <v>2320.5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0"/>
        <v>4404.75</v>
      </c>
    </row>
    <row r="25" spans="1:5" ht="15.5" x14ac:dyDescent="0.35">
      <c r="A25" s="3" t="s">
        <v>20</v>
      </c>
      <c r="B25" s="4">
        <v>5950</v>
      </c>
      <c r="C25" s="12">
        <v>1.75</v>
      </c>
      <c r="D25" s="4"/>
      <c r="E25" s="8">
        <f t="shared" si="0"/>
        <v>10412.5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0"/>
        <v>325.20000000000005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5873</v>
      </c>
      <c r="C28" s="12">
        <v>1.92</v>
      </c>
      <c r="D28" s="4"/>
      <c r="E28" s="8">
        <f t="shared" si="0"/>
        <v>11276.16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813</v>
      </c>
      <c r="C31" s="5">
        <v>6.75</v>
      </c>
      <c r="D31" s="4"/>
      <c r="E31" s="8">
        <f t="shared" si="0"/>
        <v>5487.75</v>
      </c>
    </row>
    <row r="32" spans="1:5" x14ac:dyDescent="0.35">
      <c r="A32" s="3" t="s">
        <v>27</v>
      </c>
      <c r="B32" s="4">
        <v>1</v>
      </c>
      <c r="C32" s="5">
        <v>0.6</v>
      </c>
      <c r="D32" s="4"/>
      <c r="E32" s="8">
        <f>C32*B32</f>
        <v>0.6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45836.61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1514568.2100000002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257.8866354503661</v>
      </c>
    </row>
    <row r="39" spans="1:5" x14ac:dyDescent="0.35">
      <c r="A39" s="14" t="s">
        <v>34</v>
      </c>
      <c r="B39" s="15"/>
      <c r="C39" s="16"/>
      <c r="D39" s="17"/>
      <c r="E39" s="18">
        <f>D3-E37</f>
        <v>364791.7899999998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19.410426421760594</v>
      </c>
      <c r="E41" s="28">
        <f>C3-E38</f>
        <v>62.1133645496339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802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101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31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4622-05A0-44E3-928B-4424A43D9752}">
  <dimension ref="A1:G54"/>
  <sheetViews>
    <sheetView workbookViewId="0">
      <selection activeCell="A18" sqref="A1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127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  <c r="G2" t="s">
        <v>128</v>
      </c>
    </row>
    <row r="3" spans="1:7" x14ac:dyDescent="0.35">
      <c r="A3" s="3" t="s">
        <v>5</v>
      </c>
      <c r="B3" s="4">
        <v>5780</v>
      </c>
      <c r="C3" s="5">
        <v>320</v>
      </c>
      <c r="D3" s="5">
        <f>C3*B3</f>
        <v>1849600</v>
      </c>
      <c r="E3" s="6"/>
      <c r="G3" t="s">
        <v>129</v>
      </c>
    </row>
    <row r="4" spans="1:7" x14ac:dyDescent="0.35">
      <c r="A4" s="3"/>
      <c r="B4" s="5"/>
      <c r="C4" s="5"/>
      <c r="D4" s="5"/>
      <c r="E4" s="6"/>
      <c r="G4" t="s">
        <v>130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1.77</v>
      </c>
      <c r="C7" s="5"/>
      <c r="D7" s="4"/>
      <c r="E7" s="6"/>
    </row>
    <row r="8" spans="1:7" x14ac:dyDescent="0.35">
      <c r="A8" s="3" t="s">
        <v>59</v>
      </c>
      <c r="B8" s="5">
        <v>10800</v>
      </c>
      <c r="C8" s="5">
        <v>46.5</v>
      </c>
      <c r="D8" s="4"/>
      <c r="E8" s="8">
        <f>C8*B8</f>
        <v>502200</v>
      </c>
    </row>
    <row r="9" spans="1:7" x14ac:dyDescent="0.35">
      <c r="A9" s="3" t="s">
        <v>60</v>
      </c>
      <c r="B9" s="5">
        <v>10566</v>
      </c>
      <c r="C9" s="5">
        <v>23</v>
      </c>
      <c r="D9" s="4"/>
      <c r="E9" s="8">
        <f>C9*B9</f>
        <v>243018</v>
      </c>
    </row>
    <row r="10" spans="1:7" x14ac:dyDescent="0.35">
      <c r="A10" s="3" t="s">
        <v>120</v>
      </c>
      <c r="B10" s="5">
        <v>5867</v>
      </c>
      <c r="C10" s="9">
        <v>47.5</v>
      </c>
      <c r="D10" s="4"/>
      <c r="E10" s="8">
        <f>C10*B10</f>
        <v>278682.5</v>
      </c>
    </row>
    <row r="11" spans="1:7" x14ac:dyDescent="0.35">
      <c r="A11" s="3" t="s">
        <v>46</v>
      </c>
      <c r="B11" s="5">
        <v>27480</v>
      </c>
      <c r="C11" s="9">
        <v>1.75</v>
      </c>
      <c r="D11" s="4"/>
      <c r="E11" s="8">
        <f>C11*B11</f>
        <v>48090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1071990.5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5780</v>
      </c>
      <c r="C16" s="5">
        <v>69.5</v>
      </c>
      <c r="D16" s="4"/>
      <c r="E16" s="10">
        <f>C16*B16</f>
        <v>401710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5780</v>
      </c>
      <c r="C19" s="12">
        <v>0.55000000000000004</v>
      </c>
      <c r="D19" s="4"/>
      <c r="E19" s="8">
        <f t="shared" ref="E19:E34" si="0">C19*B19</f>
        <v>3179.0000000000005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5900</v>
      </c>
      <c r="C21" s="12">
        <v>0.39</v>
      </c>
      <c r="D21" s="4"/>
      <c r="E21" s="8">
        <f t="shared" si="0"/>
        <v>2301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5780</v>
      </c>
      <c r="C24" s="12">
        <v>0.75</v>
      </c>
      <c r="D24" s="4"/>
      <c r="E24" s="8">
        <f t="shared" si="0"/>
        <v>4335</v>
      </c>
    </row>
    <row r="25" spans="1:5" ht="15.5" x14ac:dyDescent="0.35">
      <c r="A25" s="3" t="s">
        <v>20</v>
      </c>
      <c r="B25" s="4">
        <v>5900</v>
      </c>
      <c r="C25" s="12">
        <v>1.75</v>
      </c>
      <c r="D25" s="4"/>
      <c r="E25" s="8">
        <f t="shared" si="0"/>
        <v>10325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0"/>
        <v>325.20000000000005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5780</v>
      </c>
      <c r="C28" s="12">
        <v>1.92</v>
      </c>
      <c r="D28" s="4"/>
      <c r="E28" s="8">
        <f t="shared" si="0"/>
        <v>11097.6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122</v>
      </c>
      <c r="C30" s="5">
        <v>67</v>
      </c>
      <c r="D30" s="4"/>
      <c r="E30" s="8">
        <f t="shared" si="0"/>
        <v>8174</v>
      </c>
    </row>
    <row r="31" spans="1:5" x14ac:dyDescent="0.35">
      <c r="A31" s="3" t="s">
        <v>26</v>
      </c>
      <c r="B31" s="4"/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1</v>
      </c>
      <c r="C32" s="5">
        <v>0.6</v>
      </c>
      <c r="D32" s="4"/>
      <c r="E32" s="8">
        <f>C32*B32</f>
        <v>0.6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39741.4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1513441.9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261.84115916955017</v>
      </c>
    </row>
    <row r="39" spans="1:5" x14ac:dyDescent="0.35">
      <c r="A39" s="14" t="s">
        <v>34</v>
      </c>
      <c r="B39" s="15"/>
      <c r="C39" s="16"/>
      <c r="D39" s="17"/>
      <c r="E39" s="18">
        <f>D3-E37</f>
        <v>336158.10000000009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18.174637759515573</v>
      </c>
      <c r="E41" s="28">
        <f>C3-E38</f>
        <v>58.158840830449833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310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76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36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5929-2EA5-414F-BC42-0DC9136E1124}">
  <dimension ref="A1:G54"/>
  <sheetViews>
    <sheetView workbookViewId="0">
      <selection activeCell="A13" sqref="A13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131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8348</v>
      </c>
      <c r="C2" s="5">
        <v>225</v>
      </c>
      <c r="D2" s="5">
        <f>C2*B2</f>
        <v>1878300</v>
      </c>
      <c r="E2" s="6"/>
      <c r="G2" t="s">
        <v>132</v>
      </c>
    </row>
    <row r="3" spans="1:7" x14ac:dyDescent="0.35">
      <c r="A3" s="3" t="s">
        <v>5</v>
      </c>
      <c r="B3" s="4">
        <v>7853</v>
      </c>
      <c r="C3" s="5">
        <v>225</v>
      </c>
      <c r="D3" s="5">
        <f>C3*B3</f>
        <v>1766925</v>
      </c>
      <c r="E3" s="6"/>
    </row>
    <row r="4" spans="1:7" x14ac:dyDescent="0.35">
      <c r="A4" s="3"/>
      <c r="B4" s="5"/>
      <c r="C4" s="5"/>
      <c r="D4" s="5"/>
      <c r="E4" s="6"/>
      <c r="G4" t="s">
        <v>133</v>
      </c>
    </row>
    <row r="5" spans="1:7" x14ac:dyDescent="0.35">
      <c r="A5" s="3"/>
      <c r="B5" s="4"/>
      <c r="C5" s="5"/>
      <c r="D5" s="4"/>
      <c r="E5" s="6"/>
      <c r="G5" t="s">
        <v>134</v>
      </c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1.54</v>
      </c>
      <c r="C7" s="5"/>
      <c r="D7" s="4"/>
      <c r="E7" s="6"/>
    </row>
    <row r="8" spans="1:7" x14ac:dyDescent="0.35">
      <c r="A8" s="3" t="s">
        <v>59</v>
      </c>
      <c r="B8" s="5">
        <v>13200</v>
      </c>
      <c r="C8" s="5">
        <v>45</v>
      </c>
      <c r="D8" s="4"/>
      <c r="E8" s="8">
        <f>C8*B8</f>
        <v>594000</v>
      </c>
    </row>
    <row r="9" spans="1:7" x14ac:dyDescent="0.35">
      <c r="A9" s="3" t="s">
        <v>60</v>
      </c>
      <c r="B9" s="5">
        <v>12568</v>
      </c>
      <c r="C9" s="5">
        <v>22</v>
      </c>
      <c r="D9" s="4"/>
      <c r="E9" s="8">
        <f>C9*B9</f>
        <v>276496</v>
      </c>
    </row>
    <row r="10" spans="1:7" x14ac:dyDescent="0.35">
      <c r="A10" s="3" t="s">
        <v>135</v>
      </c>
      <c r="B10" s="5">
        <v>7900</v>
      </c>
      <c r="C10" s="9">
        <v>11</v>
      </c>
      <c r="D10" s="4"/>
      <c r="E10" s="8">
        <f>C10*B10</f>
        <v>86900</v>
      </c>
    </row>
    <row r="11" spans="1:7" x14ac:dyDescent="0.35">
      <c r="A11" s="3" t="s">
        <v>83</v>
      </c>
      <c r="B11" s="5">
        <v>25044</v>
      </c>
      <c r="C11" s="9">
        <v>1.25</v>
      </c>
      <c r="D11" s="4"/>
      <c r="E11" s="8">
        <f>C11*B11</f>
        <v>31305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988701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7853</v>
      </c>
      <c r="C16" s="5">
        <v>58</v>
      </c>
      <c r="D16" s="4"/>
      <c r="E16" s="10">
        <f>C16*B16</f>
        <v>455474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7853</v>
      </c>
      <c r="C19" s="12">
        <v>0.55000000000000004</v>
      </c>
      <c r="D19" s="4"/>
      <c r="E19" s="8">
        <f t="shared" ref="E19:E34" si="0">C19*B19</f>
        <v>4319.1500000000005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8750</v>
      </c>
      <c r="C21" s="12">
        <v>0.39</v>
      </c>
      <c r="D21" s="4"/>
      <c r="E21" s="8">
        <f t="shared" si="0"/>
        <v>3412.5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7853</v>
      </c>
      <c r="C24" s="12">
        <v>0.75</v>
      </c>
      <c r="D24" s="4"/>
      <c r="E24" s="8">
        <f t="shared" si="0"/>
        <v>5889.75</v>
      </c>
    </row>
    <row r="25" spans="1:5" ht="15.5" x14ac:dyDescent="0.35">
      <c r="A25" s="3" t="s">
        <v>20</v>
      </c>
      <c r="B25" s="4">
        <v>8750</v>
      </c>
      <c r="C25" s="12">
        <v>1.75</v>
      </c>
      <c r="D25" s="4"/>
      <c r="E25" s="8">
        <f t="shared" si="0"/>
        <v>15312.5</v>
      </c>
    </row>
    <row r="26" spans="1:5" ht="15.5" x14ac:dyDescent="0.35">
      <c r="A26" s="3" t="s">
        <v>21</v>
      </c>
      <c r="B26" s="4">
        <v>1267</v>
      </c>
      <c r="C26" s="12">
        <v>0.4</v>
      </c>
      <c r="D26" s="4"/>
      <c r="E26" s="8">
        <f t="shared" si="0"/>
        <v>506.8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7853</v>
      </c>
      <c r="C28" s="12">
        <v>1.92</v>
      </c>
      <c r="D28" s="4"/>
      <c r="E28" s="8">
        <f t="shared" si="0"/>
        <v>15077.76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157</v>
      </c>
      <c r="C30" s="5">
        <v>67</v>
      </c>
      <c r="D30" s="4"/>
      <c r="E30" s="8">
        <f t="shared" si="0"/>
        <v>10519</v>
      </c>
    </row>
    <row r="31" spans="1:5" x14ac:dyDescent="0.35">
      <c r="A31" s="3" t="s">
        <v>26</v>
      </c>
      <c r="B31" s="4"/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157</v>
      </c>
      <c r="C32" s="5">
        <v>0.6</v>
      </c>
      <c r="D32" s="4"/>
      <c r="E32" s="8">
        <f>C32*B32</f>
        <v>94.2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55135.659999999996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1499310.6600000001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190.92202470393482</v>
      </c>
    </row>
    <row r="39" spans="1:5" x14ac:dyDescent="0.35">
      <c r="A39" s="14" t="s">
        <v>34</v>
      </c>
      <c r="B39" s="15"/>
      <c r="C39" s="16"/>
      <c r="D39" s="17"/>
      <c r="E39" s="18">
        <f>D3-E37</f>
        <v>267614.33999999985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15.14576679825119</v>
      </c>
      <c r="E41" s="28">
        <f>C3-E38</f>
        <v>34.077975296065176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36.6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1416-B9A7-4723-8CAF-88A3EB464542}">
  <dimension ref="A1:H54"/>
  <sheetViews>
    <sheetView workbookViewId="0">
      <selection activeCell="H15" sqref="H15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8" max="8" width="12" bestFit="1" customWidth="1"/>
  </cols>
  <sheetData>
    <row r="1" spans="1:8" x14ac:dyDescent="0.35">
      <c r="A1" s="1" t="s">
        <v>136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8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</row>
    <row r="3" spans="1:8" x14ac:dyDescent="0.35">
      <c r="A3" s="3" t="s">
        <v>5</v>
      </c>
      <c r="B3" s="4">
        <f>4065+1617</f>
        <v>5682</v>
      </c>
      <c r="C3" s="5">
        <v>320</v>
      </c>
      <c r="D3" s="5">
        <f>C3*B3</f>
        <v>1818240</v>
      </c>
      <c r="E3" s="6"/>
    </row>
    <row r="4" spans="1:8" x14ac:dyDescent="0.35">
      <c r="A4" s="3"/>
      <c r="B4" s="5"/>
      <c r="C4" s="5"/>
      <c r="D4" s="5"/>
      <c r="E4" s="6"/>
    </row>
    <row r="5" spans="1:8" x14ac:dyDescent="0.35">
      <c r="A5" s="3"/>
      <c r="B5" s="4"/>
      <c r="C5" s="5"/>
      <c r="D5" s="4"/>
      <c r="E5" s="6"/>
    </row>
    <row r="6" spans="1:8" x14ac:dyDescent="0.35">
      <c r="A6" s="7" t="s">
        <v>6</v>
      </c>
      <c r="B6" s="4"/>
      <c r="C6" s="5"/>
      <c r="D6" s="4"/>
      <c r="E6" s="6"/>
    </row>
    <row r="7" spans="1:8" x14ac:dyDescent="0.35">
      <c r="A7" s="3" t="s">
        <v>7</v>
      </c>
      <c r="B7" s="4">
        <v>1.85</v>
      </c>
      <c r="C7" s="5"/>
      <c r="D7" s="4"/>
      <c r="E7" s="6"/>
    </row>
    <row r="8" spans="1:8" x14ac:dyDescent="0.35">
      <c r="A8" s="3" t="s">
        <v>137</v>
      </c>
      <c r="B8" s="5">
        <v>12168</v>
      </c>
      <c r="C8" s="5">
        <v>50</v>
      </c>
      <c r="D8" s="4"/>
      <c r="E8" s="8">
        <f t="shared" ref="E8:E13" si="0">C8*B8</f>
        <v>608400</v>
      </c>
    </row>
    <row r="9" spans="1:8" x14ac:dyDescent="0.35">
      <c r="A9" s="3" t="s">
        <v>138</v>
      </c>
      <c r="B9" s="5">
        <v>10865</v>
      </c>
      <c r="C9" s="5">
        <v>20</v>
      </c>
      <c r="D9" s="4"/>
      <c r="E9" s="8">
        <f t="shared" si="0"/>
        <v>217300</v>
      </c>
      <c r="H9" s="60"/>
    </row>
    <row r="10" spans="1:8" x14ac:dyDescent="0.35">
      <c r="A10" s="3" t="s">
        <v>139</v>
      </c>
      <c r="B10" s="5">
        <v>4874</v>
      </c>
      <c r="C10" s="9">
        <v>18</v>
      </c>
      <c r="D10" s="4"/>
      <c r="E10" s="8">
        <f t="shared" si="0"/>
        <v>87732</v>
      </c>
    </row>
    <row r="11" spans="1:8" x14ac:dyDescent="0.35">
      <c r="A11" s="3" t="s">
        <v>126</v>
      </c>
      <c r="B11" s="5">
        <v>1823</v>
      </c>
      <c r="C11" s="5">
        <v>29.5</v>
      </c>
      <c r="D11" s="4"/>
      <c r="E11" s="8">
        <f t="shared" si="0"/>
        <v>53778.5</v>
      </c>
    </row>
    <row r="12" spans="1:8" x14ac:dyDescent="0.35">
      <c r="A12" s="3" t="s">
        <v>46</v>
      </c>
      <c r="B12" s="5">
        <v>4050</v>
      </c>
      <c r="C12" s="9">
        <v>3</v>
      </c>
      <c r="D12" s="4"/>
      <c r="E12" s="8">
        <f t="shared" si="0"/>
        <v>12150</v>
      </c>
    </row>
    <row r="13" spans="1:8" x14ac:dyDescent="0.35">
      <c r="A13" s="3" t="s">
        <v>140</v>
      </c>
      <c r="B13" s="61">
        <v>17700</v>
      </c>
      <c r="C13" s="5">
        <v>2.2000000000000002</v>
      </c>
      <c r="D13" s="4"/>
      <c r="E13" s="8">
        <f t="shared" si="0"/>
        <v>38940</v>
      </c>
    </row>
    <row r="14" spans="1:8" x14ac:dyDescent="0.35">
      <c r="A14" s="7" t="s">
        <v>11</v>
      </c>
      <c r="B14" s="5"/>
      <c r="C14" s="5"/>
      <c r="D14" s="4"/>
      <c r="E14" s="10">
        <f>SUM(E8:E13)</f>
        <v>1018300.5</v>
      </c>
    </row>
    <row r="15" spans="1:8" x14ac:dyDescent="0.35">
      <c r="A15" s="3"/>
      <c r="B15" s="5"/>
      <c r="C15" s="5"/>
      <c r="D15" s="4"/>
      <c r="E15" s="8"/>
    </row>
    <row r="16" spans="1:8" x14ac:dyDescent="0.35">
      <c r="A16" s="7" t="s">
        <v>12</v>
      </c>
      <c r="B16" s="4">
        <v>5682</v>
      </c>
      <c r="C16" s="5">
        <v>74.5</v>
      </c>
      <c r="D16" s="4"/>
      <c r="E16" s="10">
        <f>C16*B16</f>
        <v>423309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5873</v>
      </c>
      <c r="C19" s="12">
        <v>0.55000000000000004</v>
      </c>
      <c r="D19" s="4"/>
      <c r="E19" s="8">
        <f t="shared" ref="E19:E34" si="1">C19*B19</f>
        <v>3230.15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1"/>
        <v>0</v>
      </c>
    </row>
    <row r="21" spans="1:5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1"/>
        <v>2320.5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1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1"/>
        <v>0</v>
      </c>
    </row>
    <row r="24" spans="1:5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1"/>
        <v>4404.75</v>
      </c>
    </row>
    <row r="25" spans="1:5" ht="15.5" x14ac:dyDescent="0.35">
      <c r="A25" s="3" t="s">
        <v>20</v>
      </c>
      <c r="B25" s="4">
        <v>5950</v>
      </c>
      <c r="C25" s="12">
        <v>1.75</v>
      </c>
      <c r="D25" s="4"/>
      <c r="E25" s="8">
        <f t="shared" si="1"/>
        <v>10412.5</v>
      </c>
    </row>
    <row r="26" spans="1:5" ht="15.5" x14ac:dyDescent="0.35">
      <c r="A26" s="3" t="s">
        <v>21</v>
      </c>
      <c r="B26" s="4">
        <v>813</v>
      </c>
      <c r="C26" s="12">
        <v>0.4</v>
      </c>
      <c r="D26" s="4"/>
      <c r="E26" s="8">
        <f t="shared" si="1"/>
        <v>325.20000000000005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1"/>
        <v>0</v>
      </c>
    </row>
    <row r="28" spans="1:5" ht="15.5" x14ac:dyDescent="0.35">
      <c r="A28" s="3" t="s">
        <v>23</v>
      </c>
      <c r="B28" s="4">
        <v>5682</v>
      </c>
      <c r="C28" s="12">
        <v>1.92</v>
      </c>
      <c r="D28" s="4"/>
      <c r="E28" s="8">
        <f t="shared" si="1"/>
        <v>10909.439999999999</v>
      </c>
    </row>
    <row r="29" spans="1:5" ht="15.5" x14ac:dyDescent="0.35">
      <c r="A29" s="3" t="s">
        <v>24</v>
      </c>
      <c r="B29" s="4"/>
      <c r="C29" s="12"/>
      <c r="D29" s="4"/>
      <c r="E29" s="8">
        <f t="shared" si="1"/>
        <v>0</v>
      </c>
    </row>
    <row r="30" spans="1:5" x14ac:dyDescent="0.35">
      <c r="A30" s="3" t="s">
        <v>25</v>
      </c>
      <c r="B30" s="4">
        <v>121</v>
      </c>
      <c r="C30" s="5">
        <v>67</v>
      </c>
      <c r="D30" s="4"/>
      <c r="E30" s="8">
        <f t="shared" si="1"/>
        <v>8107</v>
      </c>
    </row>
    <row r="31" spans="1:5" x14ac:dyDescent="0.35">
      <c r="A31" s="3" t="s">
        <v>26</v>
      </c>
      <c r="B31" s="4">
        <v>813</v>
      </c>
      <c r="C31" s="5">
        <v>6.75</v>
      </c>
      <c r="D31" s="4"/>
      <c r="E31" s="8">
        <f t="shared" si="1"/>
        <v>5487.75</v>
      </c>
    </row>
    <row r="32" spans="1:5" x14ac:dyDescent="0.35">
      <c r="A32" s="3" t="s">
        <v>27</v>
      </c>
      <c r="B32" s="4">
        <v>121</v>
      </c>
      <c r="C32" s="5">
        <v>0.6</v>
      </c>
      <c r="D32" s="4"/>
      <c r="E32" s="8">
        <f>C32*B32</f>
        <v>72.599999999999994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1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1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45273.89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1486883.39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261.68310278071101</v>
      </c>
    </row>
    <row r="39" spans="1:5" x14ac:dyDescent="0.35">
      <c r="A39" s="14" t="s">
        <v>34</v>
      </c>
      <c r="B39" s="15"/>
      <c r="C39" s="16"/>
      <c r="D39" s="17"/>
      <c r="E39" s="18">
        <f>D3-E37</f>
        <v>331356.6100000001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18.224030381027809</v>
      </c>
      <c r="E41" s="28">
        <f>C3-E38</f>
        <v>58.31689721928899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 t="s">
        <v>141</v>
      </c>
      <c r="C45" s="37"/>
      <c r="D45" s="4"/>
      <c r="E45" s="8" t="e">
        <f>C45*B45</f>
        <v>#VALUE!</v>
      </c>
    </row>
    <row r="46" spans="1:5" x14ac:dyDescent="0.35">
      <c r="A46" s="3" t="s">
        <v>40</v>
      </c>
      <c r="B46" s="37" t="s">
        <v>141</v>
      </c>
      <c r="C46" s="37"/>
      <c r="D46" s="4"/>
      <c r="E46" s="8" t="e">
        <f>C46*B46</f>
        <v>#VALUE!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 t="e">
        <f>SUM(E44:E48)</f>
        <v>#VALUE!</v>
      </c>
    </row>
    <row r="50" spans="1:5" ht="15" thickBot="1" x14ac:dyDescent="0.4">
      <c r="A50" s="39" t="s">
        <v>43</v>
      </c>
      <c r="B50" s="40"/>
      <c r="C50" s="40"/>
      <c r="D50" s="41" t="e">
        <f>E49/E37%</f>
        <v>#VALUE!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DCCC-965C-4FF5-AC94-8E2B160939D7}">
  <dimension ref="A1:H54"/>
  <sheetViews>
    <sheetView workbookViewId="0">
      <selection activeCell="D16" sqref="D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142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5800</v>
      </c>
      <c r="C2" s="5">
        <v>320</v>
      </c>
      <c r="D2" s="5">
        <f>C2*B2</f>
        <v>1856000</v>
      </c>
      <c r="E2" s="6"/>
    </row>
    <row r="3" spans="1:7" x14ac:dyDescent="0.35">
      <c r="A3" s="3" t="s">
        <v>5</v>
      </c>
      <c r="B3" s="4">
        <v>5668</v>
      </c>
      <c r="C3" s="5">
        <v>320</v>
      </c>
      <c r="D3" s="5">
        <f>C3*B3</f>
        <v>1813760</v>
      </c>
      <c r="E3" s="6"/>
      <c r="G3" t="s">
        <v>143</v>
      </c>
    </row>
    <row r="4" spans="1:7" x14ac:dyDescent="0.35">
      <c r="A4" s="3"/>
      <c r="B4" s="5"/>
      <c r="C4" s="5"/>
      <c r="D4" s="5"/>
      <c r="E4" s="6"/>
      <c r="G4" t="s">
        <v>144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1.79</v>
      </c>
      <c r="C7" s="5"/>
      <c r="D7" s="4"/>
      <c r="E7" s="6"/>
      <c r="G7">
        <f>1.79*5800</f>
        <v>10382</v>
      </c>
    </row>
    <row r="8" spans="1:7" x14ac:dyDescent="0.35">
      <c r="A8" s="3" t="s">
        <v>137</v>
      </c>
      <c r="B8" s="5">
        <v>11420</v>
      </c>
      <c r="C8" s="5">
        <v>50</v>
      </c>
      <c r="D8" s="4"/>
      <c r="E8" s="8">
        <f t="shared" ref="E8:E13" si="0">C8*B8</f>
        <v>571000</v>
      </c>
    </row>
    <row r="9" spans="1:7" x14ac:dyDescent="0.35">
      <c r="A9" s="3" t="s">
        <v>138</v>
      </c>
      <c r="B9" s="5">
        <v>10382</v>
      </c>
      <c r="C9" s="5">
        <v>20</v>
      </c>
      <c r="D9" s="4"/>
      <c r="E9" s="8">
        <f t="shared" si="0"/>
        <v>207640</v>
      </c>
      <c r="G9">
        <f>10382*10%</f>
        <v>1038.2</v>
      </c>
    </row>
    <row r="10" spans="1:7" x14ac:dyDescent="0.35">
      <c r="A10" s="3" t="s">
        <v>139</v>
      </c>
      <c r="B10" s="5">
        <v>5684</v>
      </c>
      <c r="C10" s="9">
        <v>18</v>
      </c>
      <c r="D10" s="4"/>
      <c r="E10" s="8">
        <f t="shared" si="0"/>
        <v>102312</v>
      </c>
    </row>
    <row r="11" spans="1:7" x14ac:dyDescent="0.35">
      <c r="A11" s="3" t="s">
        <v>126</v>
      </c>
      <c r="B11" s="5">
        <v>0</v>
      </c>
      <c r="C11" s="5">
        <v>0</v>
      </c>
      <c r="D11" s="4"/>
      <c r="E11" s="8">
        <f t="shared" si="0"/>
        <v>0</v>
      </c>
    </row>
    <row r="12" spans="1:7" x14ac:dyDescent="0.35">
      <c r="A12" s="3" t="s">
        <v>46</v>
      </c>
      <c r="B12" s="5">
        <v>12750</v>
      </c>
      <c r="C12" s="9">
        <v>3</v>
      </c>
      <c r="D12" s="4"/>
      <c r="E12" s="8">
        <f t="shared" si="0"/>
        <v>38250</v>
      </c>
      <c r="G12">
        <f>0.98*5800</f>
        <v>5684</v>
      </c>
    </row>
    <row r="13" spans="1:7" x14ac:dyDescent="0.35">
      <c r="A13" s="3" t="s">
        <v>140</v>
      </c>
      <c r="B13" s="61">
        <v>17700</v>
      </c>
      <c r="C13" s="5">
        <v>1.25</v>
      </c>
      <c r="D13" s="4"/>
      <c r="E13" s="8">
        <f t="shared" si="0"/>
        <v>22125</v>
      </c>
    </row>
    <row r="14" spans="1:7" x14ac:dyDescent="0.35">
      <c r="A14" s="7" t="s">
        <v>11</v>
      </c>
      <c r="B14" s="5"/>
      <c r="C14" s="5"/>
      <c r="D14" s="4"/>
      <c r="E14" s="10">
        <f>SUM(E8:E13)</f>
        <v>941327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5668</v>
      </c>
      <c r="C16" s="5">
        <v>72.099999999999994</v>
      </c>
      <c r="D16" s="4"/>
      <c r="E16" s="10">
        <f>C16*B16</f>
        <v>408662.8</v>
      </c>
    </row>
    <row r="17" spans="1:7" x14ac:dyDescent="0.35">
      <c r="A17" s="7"/>
      <c r="B17" s="4"/>
      <c r="C17" s="11"/>
      <c r="D17" s="4"/>
      <c r="E17" s="10">
        <f>C17*B17</f>
        <v>0</v>
      </c>
    </row>
    <row r="18" spans="1:7" x14ac:dyDescent="0.35">
      <c r="A18" s="7" t="s">
        <v>13</v>
      </c>
      <c r="B18" s="4"/>
      <c r="C18" s="4"/>
      <c r="D18" s="4"/>
      <c r="E18" s="8"/>
    </row>
    <row r="19" spans="1:7" ht="15.5" x14ac:dyDescent="0.35">
      <c r="A19" s="3" t="s">
        <v>14</v>
      </c>
      <c r="B19" s="4">
        <v>5800</v>
      </c>
      <c r="C19" s="12">
        <v>0.55000000000000004</v>
      </c>
      <c r="D19" s="4"/>
      <c r="E19" s="8">
        <f t="shared" ref="E19:E34" si="1">C19*B19</f>
        <v>3190.0000000000005</v>
      </c>
    </row>
    <row r="20" spans="1:7" ht="15.5" x14ac:dyDescent="0.35">
      <c r="A20" s="3" t="s">
        <v>15</v>
      </c>
      <c r="B20" s="4">
        <v>0</v>
      </c>
      <c r="C20" s="12">
        <v>0.75</v>
      </c>
      <c r="D20" s="4"/>
      <c r="E20" s="8">
        <f t="shared" si="1"/>
        <v>0</v>
      </c>
    </row>
    <row r="21" spans="1:7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1"/>
        <v>2320.5</v>
      </c>
      <c r="G21">
        <f>5800-4065</f>
        <v>1735</v>
      </c>
    </row>
    <row r="22" spans="1:7" ht="15.5" x14ac:dyDescent="0.35">
      <c r="A22" s="3" t="s">
        <v>17</v>
      </c>
      <c r="B22" s="4"/>
      <c r="C22" s="12">
        <v>0</v>
      </c>
      <c r="D22" s="4"/>
      <c r="E22" s="8">
        <f t="shared" si="1"/>
        <v>0</v>
      </c>
    </row>
    <row r="23" spans="1:7" ht="15.5" x14ac:dyDescent="0.35">
      <c r="A23" s="3" t="s">
        <v>18</v>
      </c>
      <c r="B23" s="4"/>
      <c r="C23" s="12">
        <v>0</v>
      </c>
      <c r="D23" s="4"/>
      <c r="E23" s="8">
        <f t="shared" si="1"/>
        <v>0</v>
      </c>
    </row>
    <row r="24" spans="1:7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1"/>
        <v>4404.75</v>
      </c>
    </row>
    <row r="25" spans="1:7" ht="15.5" x14ac:dyDescent="0.35">
      <c r="A25" s="3" t="s">
        <v>20</v>
      </c>
      <c r="B25" s="4">
        <v>6100</v>
      </c>
      <c r="C25" s="12">
        <v>1.75</v>
      </c>
      <c r="D25" s="4"/>
      <c r="E25" s="8">
        <f t="shared" si="1"/>
        <v>10675</v>
      </c>
    </row>
    <row r="26" spans="1:7" ht="15.5" x14ac:dyDescent="0.35">
      <c r="A26" s="3" t="s">
        <v>21</v>
      </c>
      <c r="B26" s="4">
        <v>825</v>
      </c>
      <c r="C26" s="12">
        <v>0.4</v>
      </c>
      <c r="D26" s="4"/>
      <c r="E26" s="8">
        <f t="shared" si="1"/>
        <v>330</v>
      </c>
      <c r="G26">
        <f>4065/8</f>
        <v>508.125</v>
      </c>
    </row>
    <row r="27" spans="1:7" ht="15.5" x14ac:dyDescent="0.35">
      <c r="A27" s="3" t="s">
        <v>22</v>
      </c>
      <c r="B27" s="4"/>
      <c r="C27" s="12">
        <v>0</v>
      </c>
      <c r="D27" s="4"/>
      <c r="E27" s="8">
        <f t="shared" si="1"/>
        <v>0</v>
      </c>
    </row>
    <row r="28" spans="1:7" ht="15.5" x14ac:dyDescent="0.35">
      <c r="A28" s="3" t="s">
        <v>23</v>
      </c>
      <c r="B28" s="4">
        <v>5873</v>
      </c>
      <c r="C28" s="12">
        <v>1.92</v>
      </c>
      <c r="D28" s="4"/>
      <c r="E28" s="8">
        <f t="shared" si="1"/>
        <v>11276.16</v>
      </c>
    </row>
    <row r="29" spans="1:7" ht="15.5" x14ac:dyDescent="0.35">
      <c r="A29" s="3" t="s">
        <v>24</v>
      </c>
      <c r="B29" s="4"/>
      <c r="C29" s="12"/>
      <c r="D29" s="4"/>
      <c r="E29" s="8">
        <f t="shared" si="1"/>
        <v>0</v>
      </c>
    </row>
    <row r="30" spans="1:7" x14ac:dyDescent="0.35">
      <c r="A30" s="3" t="s">
        <v>25</v>
      </c>
      <c r="B30" s="4">
        <v>121</v>
      </c>
      <c r="C30" s="5">
        <v>67</v>
      </c>
      <c r="D30" s="4"/>
      <c r="E30" s="8">
        <f t="shared" si="1"/>
        <v>8107</v>
      </c>
    </row>
    <row r="31" spans="1:7" x14ac:dyDescent="0.35">
      <c r="A31" s="3" t="s">
        <v>26</v>
      </c>
      <c r="B31" s="4">
        <v>813</v>
      </c>
      <c r="C31" s="5">
        <v>6.75</v>
      </c>
      <c r="D31" s="4"/>
      <c r="E31" s="8">
        <f t="shared" si="1"/>
        <v>5487.75</v>
      </c>
    </row>
    <row r="32" spans="1:7" x14ac:dyDescent="0.35">
      <c r="A32" s="3" t="s">
        <v>27</v>
      </c>
      <c r="B32" s="4">
        <v>121</v>
      </c>
      <c r="C32" s="5">
        <v>0.6</v>
      </c>
      <c r="D32" s="4"/>
      <c r="E32" s="8">
        <f>C32*B32</f>
        <v>72.599999999999994</v>
      </c>
    </row>
    <row r="33" spans="1:8" x14ac:dyDescent="0.35">
      <c r="A33" s="3" t="s">
        <v>62</v>
      </c>
      <c r="B33" s="13">
        <v>1</v>
      </c>
      <c r="C33" s="5">
        <v>4</v>
      </c>
      <c r="D33" s="4"/>
      <c r="E33" s="8">
        <f t="shared" si="1"/>
        <v>4</v>
      </c>
    </row>
    <row r="34" spans="1:8" x14ac:dyDescent="0.35">
      <c r="A34" s="3" t="s">
        <v>29</v>
      </c>
      <c r="B34" s="13"/>
      <c r="C34" s="5"/>
      <c r="D34" s="4"/>
      <c r="E34" s="8">
        <f t="shared" si="1"/>
        <v>0</v>
      </c>
      <c r="H34">
        <f>82+39</f>
        <v>121</v>
      </c>
    </row>
    <row r="35" spans="1:8" x14ac:dyDescent="0.35">
      <c r="A35" s="7" t="s">
        <v>30</v>
      </c>
      <c r="B35" s="4"/>
      <c r="C35" s="4"/>
      <c r="D35" s="4"/>
      <c r="E35" s="10">
        <f>SUM(E19:E34)</f>
        <v>45867.76</v>
      </c>
    </row>
    <row r="36" spans="1:8" x14ac:dyDescent="0.35">
      <c r="A36" s="7" t="s">
        <v>31</v>
      </c>
      <c r="B36" s="4"/>
      <c r="C36" s="4"/>
      <c r="D36" s="4"/>
      <c r="E36" s="10"/>
    </row>
    <row r="37" spans="1:8" x14ac:dyDescent="0.35">
      <c r="A37" s="7" t="s">
        <v>32</v>
      </c>
      <c r="B37" s="4"/>
      <c r="C37" s="4"/>
      <c r="D37" s="4"/>
      <c r="E37" s="10">
        <f>SUM(E35,E14,E16,E36)-D4</f>
        <v>1395857.56</v>
      </c>
    </row>
    <row r="38" spans="1:8" ht="15" thickBot="1" x14ac:dyDescent="0.4">
      <c r="A38" s="7" t="s">
        <v>33</v>
      </c>
      <c r="B38" s="4"/>
      <c r="C38" s="4"/>
      <c r="D38" s="4"/>
      <c r="E38" s="10">
        <f>E37/B3</f>
        <v>246.2698588567396</v>
      </c>
    </row>
    <row r="39" spans="1:8" x14ac:dyDescent="0.35">
      <c r="A39" s="14" t="s">
        <v>34</v>
      </c>
      <c r="B39" s="15"/>
      <c r="C39" s="16"/>
      <c r="D39" s="17"/>
      <c r="E39" s="18">
        <f>D3-E37</f>
        <v>417902.43999999994</v>
      </c>
    </row>
    <row r="40" spans="1:8" ht="15" thickBot="1" x14ac:dyDescent="0.4">
      <c r="A40" s="19"/>
      <c r="B40" s="20"/>
      <c r="C40" s="21"/>
      <c r="D40" s="22"/>
      <c r="E40" s="23"/>
    </row>
    <row r="41" spans="1:8" ht="15" thickBot="1" x14ac:dyDescent="0.4">
      <c r="A41" s="24" t="s">
        <v>35</v>
      </c>
      <c r="B41" s="25"/>
      <c r="C41" s="26" t="s">
        <v>36</v>
      </c>
      <c r="D41" s="27">
        <f>E41*100/C2</f>
        <v>23.040669107268876</v>
      </c>
      <c r="E41" s="28">
        <f>C3-E38</f>
        <v>73.730141143260397</v>
      </c>
    </row>
    <row r="42" spans="1:8" ht="15" thickBot="1" x14ac:dyDescent="0.4">
      <c r="A42" s="29"/>
      <c r="B42" s="30"/>
      <c r="C42" s="30"/>
      <c r="D42" s="30"/>
      <c r="E42" s="30"/>
    </row>
    <row r="43" spans="1:8" x14ac:dyDescent="0.35">
      <c r="A43" s="31" t="s">
        <v>37</v>
      </c>
      <c r="B43" s="32"/>
      <c r="C43" s="32"/>
      <c r="D43" s="32"/>
      <c r="E43" s="33"/>
    </row>
    <row r="44" spans="1:8" x14ac:dyDescent="0.35">
      <c r="A44" s="34" t="s">
        <v>38</v>
      </c>
      <c r="B44" s="35"/>
      <c r="C44" s="35"/>
      <c r="D44" s="36"/>
      <c r="E44" s="8">
        <f>B44*C44</f>
        <v>0</v>
      </c>
    </row>
    <row r="45" spans="1:8" x14ac:dyDescent="0.35">
      <c r="A45" s="3" t="s">
        <v>39</v>
      </c>
      <c r="B45" s="37">
        <v>141</v>
      </c>
      <c r="C45" s="37"/>
      <c r="D45" s="4"/>
      <c r="E45" s="8">
        <f>C45*B45</f>
        <v>0</v>
      </c>
    </row>
    <row r="46" spans="1:8" x14ac:dyDescent="0.35">
      <c r="A46" s="3" t="s">
        <v>40</v>
      </c>
      <c r="B46" s="37">
        <f>94+8</f>
        <v>102</v>
      </c>
      <c r="C46" s="37"/>
      <c r="D46" s="4"/>
      <c r="E46" s="8">
        <f>C46*B46</f>
        <v>0</v>
      </c>
    </row>
    <row r="47" spans="1:8" x14ac:dyDescent="0.35">
      <c r="A47" s="3" t="s">
        <v>41</v>
      </c>
      <c r="B47" s="37">
        <v>2</v>
      </c>
      <c r="C47" s="5"/>
      <c r="D47" s="4"/>
      <c r="E47" s="10">
        <f>B47*C47</f>
        <v>0</v>
      </c>
    </row>
    <row r="48" spans="1:8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AF51-F19C-4819-A499-D510A21985C7}">
  <dimension ref="A1:H54"/>
  <sheetViews>
    <sheetView workbookViewId="0">
      <selection activeCell="F17" sqref="F1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145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5873</v>
      </c>
      <c r="C2" s="5">
        <v>320</v>
      </c>
      <c r="D2" s="5">
        <f>C2*B2</f>
        <v>1879360</v>
      </c>
      <c r="E2" s="6"/>
    </row>
    <row r="3" spans="1:7" x14ac:dyDescent="0.35">
      <c r="A3" s="3" t="s">
        <v>5</v>
      </c>
      <c r="B3" s="4">
        <v>5689</v>
      </c>
      <c r="C3" s="5">
        <v>320</v>
      </c>
      <c r="D3" s="5">
        <f>C3*B3</f>
        <v>1820480</v>
      </c>
      <c r="E3" s="6"/>
      <c r="G3" t="s">
        <v>146</v>
      </c>
    </row>
    <row r="4" spans="1:7" x14ac:dyDescent="0.35">
      <c r="A4" s="3"/>
      <c r="B4" s="5"/>
      <c r="C4" s="5"/>
      <c r="D4" s="5"/>
      <c r="E4" s="6"/>
      <c r="G4" t="s">
        <v>147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1.86</v>
      </c>
      <c r="C7" s="5"/>
      <c r="D7" s="4"/>
      <c r="E7" s="6"/>
      <c r="G7">
        <f>1.86*5873</f>
        <v>10923.78</v>
      </c>
    </row>
    <row r="8" spans="1:7" x14ac:dyDescent="0.35">
      <c r="A8" s="3" t="s">
        <v>137</v>
      </c>
      <c r="B8" s="5">
        <v>12016</v>
      </c>
      <c r="C8" s="5">
        <v>50</v>
      </c>
      <c r="D8" s="4"/>
      <c r="E8" s="8">
        <f t="shared" ref="E8:E13" si="0">C8*B8</f>
        <v>600800</v>
      </c>
    </row>
    <row r="9" spans="1:7" x14ac:dyDescent="0.35">
      <c r="A9" s="3" t="s">
        <v>138</v>
      </c>
      <c r="B9" s="5">
        <v>10923</v>
      </c>
      <c r="C9" s="5">
        <v>20</v>
      </c>
      <c r="D9" s="4"/>
      <c r="E9" s="8">
        <f t="shared" si="0"/>
        <v>218460</v>
      </c>
      <c r="G9">
        <f>10924*10%</f>
        <v>1092.4000000000001</v>
      </c>
    </row>
    <row r="10" spans="1:7" x14ac:dyDescent="0.35">
      <c r="A10" s="3" t="s">
        <v>139</v>
      </c>
      <c r="B10" s="5">
        <v>5916</v>
      </c>
      <c r="C10" s="9">
        <v>18</v>
      </c>
      <c r="D10" s="4"/>
      <c r="E10" s="8">
        <f t="shared" si="0"/>
        <v>106488</v>
      </c>
    </row>
    <row r="11" spans="1:7" x14ac:dyDescent="0.35">
      <c r="A11" s="3" t="s">
        <v>148</v>
      </c>
      <c r="B11" s="5">
        <v>5873</v>
      </c>
      <c r="C11" s="5">
        <v>24</v>
      </c>
      <c r="D11" s="4"/>
      <c r="E11" s="8">
        <f t="shared" si="0"/>
        <v>140952</v>
      </c>
    </row>
    <row r="12" spans="1:7" x14ac:dyDescent="0.35">
      <c r="A12" s="3" t="s">
        <v>46</v>
      </c>
      <c r="B12" s="5">
        <v>4052</v>
      </c>
      <c r="C12" s="9">
        <v>2.25</v>
      </c>
      <c r="D12" s="4"/>
      <c r="E12" s="8">
        <f t="shared" si="0"/>
        <v>9117</v>
      </c>
      <c r="G12">
        <f>1.02*5800</f>
        <v>5916</v>
      </c>
    </row>
    <row r="13" spans="1:7" x14ac:dyDescent="0.35">
      <c r="A13" s="3" t="s">
        <v>140</v>
      </c>
      <c r="B13" s="61"/>
      <c r="C13" s="5"/>
      <c r="D13" s="4"/>
      <c r="E13" s="8">
        <f t="shared" si="0"/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1075817</v>
      </c>
      <c r="G14">
        <f>1.68*5873</f>
        <v>9866.64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5668</v>
      </c>
      <c r="C16" s="5">
        <v>67.5</v>
      </c>
      <c r="D16" s="4"/>
      <c r="E16" s="10">
        <f>C16*B16</f>
        <v>382590</v>
      </c>
    </row>
    <row r="17" spans="1:7" x14ac:dyDescent="0.35">
      <c r="A17" s="7"/>
      <c r="B17" s="4"/>
      <c r="C17" s="11"/>
      <c r="D17" s="4"/>
      <c r="E17" s="10">
        <f>C17*B17</f>
        <v>0</v>
      </c>
    </row>
    <row r="18" spans="1:7" x14ac:dyDescent="0.35">
      <c r="A18" s="7" t="s">
        <v>13</v>
      </c>
      <c r="B18" s="4"/>
      <c r="C18" s="4"/>
      <c r="D18" s="4"/>
      <c r="E18" s="8"/>
    </row>
    <row r="19" spans="1:7" ht="15.5" x14ac:dyDescent="0.35">
      <c r="A19" s="3" t="s">
        <v>14</v>
      </c>
      <c r="B19" s="4">
        <v>5800</v>
      </c>
      <c r="C19" s="12">
        <v>0.55000000000000004</v>
      </c>
      <c r="D19" s="4"/>
      <c r="E19" s="8">
        <f t="shared" ref="E19:E34" si="1">C19*B19</f>
        <v>3190.0000000000005</v>
      </c>
    </row>
    <row r="20" spans="1:7" ht="15.5" x14ac:dyDescent="0.35">
      <c r="A20" s="3" t="s">
        <v>15</v>
      </c>
      <c r="B20" s="4">
        <v>0</v>
      </c>
      <c r="C20" s="12">
        <v>0.75</v>
      </c>
      <c r="D20" s="4"/>
      <c r="E20" s="8">
        <f t="shared" si="1"/>
        <v>0</v>
      </c>
    </row>
    <row r="21" spans="1:7" ht="15.5" x14ac:dyDescent="0.35">
      <c r="A21" s="3" t="s">
        <v>16</v>
      </c>
      <c r="B21" s="4">
        <v>5950</v>
      </c>
      <c r="C21" s="12">
        <v>0.39</v>
      </c>
      <c r="D21" s="4"/>
      <c r="E21" s="8">
        <f t="shared" si="1"/>
        <v>2320.5</v>
      </c>
    </row>
    <row r="22" spans="1:7" ht="15.5" x14ac:dyDescent="0.35">
      <c r="A22" s="3" t="s">
        <v>17</v>
      </c>
      <c r="B22" s="4"/>
      <c r="C22" s="12">
        <v>0</v>
      </c>
      <c r="D22" s="4"/>
      <c r="E22" s="8">
        <f t="shared" si="1"/>
        <v>0</v>
      </c>
    </row>
    <row r="23" spans="1:7" ht="15.5" x14ac:dyDescent="0.35">
      <c r="A23" s="3" t="s">
        <v>18</v>
      </c>
      <c r="B23" s="4"/>
      <c r="C23" s="12">
        <v>0</v>
      </c>
      <c r="D23" s="4"/>
      <c r="E23" s="8">
        <f t="shared" si="1"/>
        <v>0</v>
      </c>
    </row>
    <row r="24" spans="1:7" ht="15.5" x14ac:dyDescent="0.35">
      <c r="A24" s="3" t="s">
        <v>19</v>
      </c>
      <c r="B24" s="4">
        <v>5873</v>
      </c>
      <c r="C24" s="12">
        <v>0.75</v>
      </c>
      <c r="D24" s="4"/>
      <c r="E24" s="8">
        <f t="shared" si="1"/>
        <v>4404.75</v>
      </c>
    </row>
    <row r="25" spans="1:7" ht="15.5" x14ac:dyDescent="0.35">
      <c r="A25" s="3" t="s">
        <v>20</v>
      </c>
      <c r="B25" s="4">
        <v>6100</v>
      </c>
      <c r="C25" s="12">
        <v>1.75</v>
      </c>
      <c r="D25" s="4"/>
      <c r="E25" s="8">
        <f t="shared" si="1"/>
        <v>10675</v>
      </c>
    </row>
    <row r="26" spans="1:7" ht="15.5" x14ac:dyDescent="0.35">
      <c r="A26" s="3" t="s">
        <v>21</v>
      </c>
      <c r="B26" s="4">
        <v>825</v>
      </c>
      <c r="C26" s="12">
        <v>0.4</v>
      </c>
      <c r="D26" s="4"/>
      <c r="E26" s="8">
        <f t="shared" si="1"/>
        <v>330</v>
      </c>
      <c r="G26">
        <f>4065/8</f>
        <v>508.125</v>
      </c>
    </row>
    <row r="27" spans="1:7" ht="15.5" x14ac:dyDescent="0.35">
      <c r="A27" s="3" t="s">
        <v>22</v>
      </c>
      <c r="B27" s="4"/>
      <c r="C27" s="12">
        <v>0</v>
      </c>
      <c r="D27" s="4"/>
      <c r="E27" s="8">
        <f t="shared" si="1"/>
        <v>0</v>
      </c>
    </row>
    <row r="28" spans="1:7" ht="15.5" x14ac:dyDescent="0.35">
      <c r="A28" s="3" t="s">
        <v>23</v>
      </c>
      <c r="B28" s="4">
        <v>5873</v>
      </c>
      <c r="C28" s="12">
        <v>1.92</v>
      </c>
      <c r="D28" s="4"/>
      <c r="E28" s="8">
        <f t="shared" si="1"/>
        <v>11276.16</v>
      </c>
    </row>
    <row r="29" spans="1:7" ht="15.5" x14ac:dyDescent="0.35">
      <c r="A29" s="3" t="s">
        <v>24</v>
      </c>
      <c r="B29" s="4"/>
      <c r="C29" s="12"/>
      <c r="D29" s="4"/>
      <c r="E29" s="8">
        <f t="shared" si="1"/>
        <v>0</v>
      </c>
    </row>
    <row r="30" spans="1:7" x14ac:dyDescent="0.35">
      <c r="A30" s="3" t="s">
        <v>25</v>
      </c>
      <c r="B30" s="4">
        <v>122</v>
      </c>
      <c r="C30" s="5">
        <v>67</v>
      </c>
      <c r="D30" s="4"/>
      <c r="E30" s="8">
        <f t="shared" si="1"/>
        <v>8174</v>
      </c>
    </row>
    <row r="31" spans="1:7" x14ac:dyDescent="0.35">
      <c r="A31" s="3" t="s">
        <v>26</v>
      </c>
      <c r="B31" s="4">
        <v>825</v>
      </c>
      <c r="C31" s="5">
        <v>6.75</v>
      </c>
      <c r="D31" s="4"/>
      <c r="E31" s="8">
        <f t="shared" si="1"/>
        <v>5568.75</v>
      </c>
    </row>
    <row r="32" spans="1:7" x14ac:dyDescent="0.35">
      <c r="A32" s="3" t="s">
        <v>27</v>
      </c>
      <c r="B32" s="4">
        <v>122</v>
      </c>
      <c r="C32" s="5">
        <v>0.6</v>
      </c>
      <c r="D32" s="4"/>
      <c r="E32" s="8">
        <f>C32*B32</f>
        <v>73.2</v>
      </c>
    </row>
    <row r="33" spans="1:8" x14ac:dyDescent="0.35">
      <c r="A33" s="3" t="s">
        <v>62</v>
      </c>
      <c r="B33" s="13">
        <v>1</v>
      </c>
      <c r="C33" s="5">
        <v>4</v>
      </c>
      <c r="D33" s="4"/>
      <c r="E33" s="8">
        <f t="shared" si="1"/>
        <v>4</v>
      </c>
    </row>
    <row r="34" spans="1:8" x14ac:dyDescent="0.35">
      <c r="A34" s="3" t="s">
        <v>29</v>
      </c>
      <c r="B34" s="13"/>
      <c r="C34" s="5"/>
      <c r="D34" s="4"/>
      <c r="E34" s="8">
        <f t="shared" si="1"/>
        <v>0</v>
      </c>
      <c r="H34">
        <f>82+39</f>
        <v>121</v>
      </c>
    </row>
    <row r="35" spans="1:8" x14ac:dyDescent="0.35">
      <c r="A35" s="7" t="s">
        <v>30</v>
      </c>
      <c r="B35" s="4"/>
      <c r="C35" s="4"/>
      <c r="D35" s="4"/>
      <c r="E35" s="10">
        <f>SUM(E19:E34)</f>
        <v>46016.36</v>
      </c>
    </row>
    <row r="36" spans="1:8" x14ac:dyDescent="0.35">
      <c r="A36" s="7" t="s">
        <v>31</v>
      </c>
      <c r="B36" s="4"/>
      <c r="C36" s="4"/>
      <c r="D36" s="4"/>
      <c r="E36" s="10"/>
    </row>
    <row r="37" spans="1:8" x14ac:dyDescent="0.35">
      <c r="A37" s="7" t="s">
        <v>32</v>
      </c>
      <c r="B37" s="4"/>
      <c r="C37" s="4"/>
      <c r="D37" s="4"/>
      <c r="E37" s="10">
        <f>SUM(E35,E14,E16,E36)-D4</f>
        <v>1504423.36</v>
      </c>
    </row>
    <row r="38" spans="1:8" ht="15" thickBot="1" x14ac:dyDescent="0.4">
      <c r="A38" s="7" t="s">
        <v>33</v>
      </c>
      <c r="B38" s="4"/>
      <c r="C38" s="4"/>
      <c r="D38" s="4"/>
      <c r="E38" s="10">
        <f>E37/B3</f>
        <v>264.44425382316751</v>
      </c>
    </row>
    <row r="39" spans="1:8" x14ac:dyDescent="0.35">
      <c r="A39" s="14" t="s">
        <v>34</v>
      </c>
      <c r="B39" s="15"/>
      <c r="C39" s="16"/>
      <c r="D39" s="17"/>
      <c r="E39" s="18">
        <f>D3-E37</f>
        <v>316056.6399999999</v>
      </c>
    </row>
    <row r="40" spans="1:8" ht="15" thickBot="1" x14ac:dyDescent="0.4">
      <c r="A40" s="19"/>
      <c r="B40" s="20"/>
      <c r="C40" s="21"/>
      <c r="D40" s="22"/>
      <c r="E40" s="23"/>
    </row>
    <row r="41" spans="1:8" ht="15" thickBot="1" x14ac:dyDescent="0.4">
      <c r="A41" s="24" t="s">
        <v>35</v>
      </c>
      <c r="B41" s="25"/>
      <c r="C41" s="26" t="s">
        <v>36</v>
      </c>
      <c r="D41" s="27">
        <f>E41*100/C2</f>
        <v>17.361170680260152</v>
      </c>
      <c r="E41" s="28">
        <f>C3-E38</f>
        <v>55.555746176832486</v>
      </c>
    </row>
    <row r="42" spans="1:8" ht="15" thickBot="1" x14ac:dyDescent="0.4">
      <c r="A42" s="29"/>
      <c r="B42" s="30"/>
      <c r="C42" s="30"/>
      <c r="D42" s="30"/>
      <c r="E42" s="30"/>
    </row>
    <row r="43" spans="1:8" x14ac:dyDescent="0.35">
      <c r="A43" s="31" t="s">
        <v>37</v>
      </c>
      <c r="B43" s="32"/>
      <c r="C43" s="32"/>
      <c r="D43" s="32"/>
      <c r="E43" s="33"/>
    </row>
    <row r="44" spans="1:8" x14ac:dyDescent="0.35">
      <c r="A44" s="34" t="s">
        <v>38</v>
      </c>
      <c r="B44" s="35">
        <v>164</v>
      </c>
      <c r="C44" s="35"/>
      <c r="D44" s="36"/>
      <c r="E44" s="8">
        <f>B44*C44</f>
        <v>0</v>
      </c>
    </row>
    <row r="45" spans="1:8" x14ac:dyDescent="0.35">
      <c r="A45" s="3" t="s">
        <v>39</v>
      </c>
      <c r="B45" s="37">
        <v>23</v>
      </c>
      <c r="C45" s="37"/>
      <c r="D45" s="4"/>
      <c r="E45" s="8">
        <f>C45*B45</f>
        <v>0</v>
      </c>
    </row>
    <row r="46" spans="1:8" x14ac:dyDescent="0.35">
      <c r="A46" s="3" t="s">
        <v>40</v>
      </c>
      <c r="B46" s="37">
        <v>95</v>
      </c>
      <c r="C46" s="37"/>
      <c r="D46" s="4"/>
      <c r="E46" s="8">
        <f>C46*B46</f>
        <v>0</v>
      </c>
    </row>
    <row r="47" spans="1:8" x14ac:dyDescent="0.35">
      <c r="A47" s="3" t="s">
        <v>41</v>
      </c>
      <c r="B47" s="37">
        <v>35</v>
      </c>
      <c r="C47" s="5"/>
      <c r="D47" s="4"/>
      <c r="E47" s="10">
        <f>B47*C47</f>
        <v>0</v>
      </c>
    </row>
    <row r="48" spans="1:8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5282-84CC-4628-BB7F-6D967899D925}">
  <dimension ref="A1:E54"/>
  <sheetViews>
    <sheetView topLeftCell="A30" workbookViewId="0">
      <selection activeCell="E38" sqref="E3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44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1200</v>
      </c>
      <c r="C2" s="5">
        <v>333</v>
      </c>
      <c r="D2" s="5">
        <f>C2*B2</f>
        <v>399600</v>
      </c>
      <c r="E2" s="6"/>
    </row>
    <row r="3" spans="1:5" x14ac:dyDescent="0.35">
      <c r="A3" s="3" t="s">
        <v>5</v>
      </c>
      <c r="B3" s="4">
        <v>1200</v>
      </c>
      <c r="C3" s="5">
        <v>333</v>
      </c>
      <c r="D3" s="5">
        <f>C3*B3</f>
        <v>399600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1.64</v>
      </c>
      <c r="C7" s="5"/>
      <c r="D7" s="4"/>
      <c r="E7" s="6"/>
    </row>
    <row r="8" spans="1:5" x14ac:dyDescent="0.35">
      <c r="A8" s="3" t="s">
        <v>45</v>
      </c>
      <c r="B8" s="5">
        <v>2221</v>
      </c>
      <c r="C8" s="5">
        <v>79.05</v>
      </c>
      <c r="D8" s="4"/>
      <c r="E8" s="8">
        <f>C8*B8</f>
        <v>175570.05</v>
      </c>
    </row>
    <row r="9" spans="1:5" x14ac:dyDescent="0.35">
      <c r="A9" s="3"/>
      <c r="B9" s="5">
        <v>0</v>
      </c>
      <c r="C9" s="5">
        <v>0</v>
      </c>
      <c r="D9" s="4"/>
      <c r="E9" s="8">
        <f>C9*B9</f>
        <v>0</v>
      </c>
    </row>
    <row r="10" spans="1:5" x14ac:dyDescent="0.35">
      <c r="A10" s="3" t="s">
        <v>46</v>
      </c>
      <c r="B10" s="5">
        <v>2400</v>
      </c>
      <c r="C10" s="9">
        <v>0.9</v>
      </c>
      <c r="D10" s="4"/>
      <c r="E10" s="8">
        <f>C10*B10</f>
        <v>2160</v>
      </c>
    </row>
    <row r="11" spans="1:5" x14ac:dyDescent="0.35">
      <c r="A11" s="3" t="s">
        <v>8</v>
      </c>
      <c r="B11" s="5">
        <v>0</v>
      </c>
      <c r="C11" s="5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177730.05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1200</v>
      </c>
      <c r="C16" s="5">
        <v>83.57</v>
      </c>
      <c r="D16" s="4"/>
      <c r="E16" s="10">
        <f>C16*B16</f>
        <v>100283.99999999999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1200</v>
      </c>
      <c r="C19" s="12">
        <v>0.67</v>
      </c>
      <c r="D19" s="4"/>
      <c r="E19" s="8">
        <f t="shared" ref="E19:E34" si="0">C19*B19</f>
        <v>804</v>
      </c>
    </row>
    <row r="20" spans="1:5" ht="15.5" x14ac:dyDescent="0.35">
      <c r="A20" s="3" t="s">
        <v>15</v>
      </c>
      <c r="B20" s="4">
        <v>1200</v>
      </c>
      <c r="C20" s="12">
        <v>0.75</v>
      </c>
      <c r="D20" s="4"/>
      <c r="E20" s="8">
        <f t="shared" si="0"/>
        <v>900</v>
      </c>
    </row>
    <row r="21" spans="1:5" ht="15.5" x14ac:dyDescent="0.35">
      <c r="A21" s="3" t="s">
        <v>16</v>
      </c>
      <c r="B21" s="4">
        <v>1210</v>
      </c>
      <c r="C21" s="12">
        <v>0.39</v>
      </c>
      <c r="D21" s="4"/>
      <c r="E21" s="8">
        <f t="shared" si="0"/>
        <v>471.90000000000003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1210</v>
      </c>
      <c r="C25" s="12">
        <v>3.1</v>
      </c>
      <c r="D25" s="4"/>
      <c r="E25" s="8">
        <f t="shared" si="0"/>
        <v>3751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2.4</v>
      </c>
      <c r="D28" s="4"/>
      <c r="E28" s="8">
        <f t="shared" si="0"/>
        <v>2880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60</v>
      </c>
      <c r="C30" s="5">
        <v>67</v>
      </c>
      <c r="D30" s="4"/>
      <c r="E30" s="8">
        <f t="shared" si="0"/>
        <v>4020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0.75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12829.9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290843.94999999995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242.3699583333333</v>
      </c>
    </row>
    <row r="39" spans="1:5" x14ac:dyDescent="0.35">
      <c r="A39" s="14" t="s">
        <v>34</v>
      </c>
      <c r="B39" s="15"/>
      <c r="C39" s="16"/>
      <c r="D39" s="17"/>
      <c r="E39" s="18">
        <f>D3-E37</f>
        <v>108756.05000000005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27.216228728728737</v>
      </c>
      <c r="E41" s="28">
        <f>C3-E38</f>
        <v>90.630041666666699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/>
      <c r="C45" s="37"/>
      <c r="D45" s="4"/>
      <c r="E45" s="8">
        <f>C45*B45</f>
        <v>0</v>
      </c>
    </row>
    <row r="46" spans="1:5" x14ac:dyDescent="0.35">
      <c r="A46" s="3" t="s">
        <v>40</v>
      </c>
      <c r="B46" s="37"/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7CD8-20A5-469D-86F0-3394FB908130}">
  <dimension ref="A1:G54"/>
  <sheetViews>
    <sheetView topLeftCell="A22" workbookViewId="0">
      <selection activeCell="B9" sqref="B9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48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1569</v>
      </c>
      <c r="C2" s="5">
        <v>314</v>
      </c>
      <c r="D2" s="5">
        <f>C2*B2</f>
        <v>492666</v>
      </c>
      <c r="E2" s="6"/>
    </row>
    <row r="3" spans="1:7" x14ac:dyDescent="0.35">
      <c r="A3" s="3" t="s">
        <v>5</v>
      </c>
      <c r="B3" s="4">
        <v>1569</v>
      </c>
      <c r="C3" s="5">
        <v>314</v>
      </c>
      <c r="D3" s="5">
        <f>C3*B3</f>
        <v>492666</v>
      </c>
      <c r="E3" s="6"/>
      <c r="G3" t="s">
        <v>56</v>
      </c>
    </row>
    <row r="4" spans="1:7" x14ac:dyDescent="0.35">
      <c r="A4" s="3"/>
      <c r="B4" s="5"/>
      <c r="C4" s="5"/>
      <c r="D4" s="5"/>
      <c r="E4" s="6"/>
      <c r="G4" t="s">
        <v>57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1.37</v>
      </c>
      <c r="C7" s="5"/>
      <c r="D7" s="4"/>
      <c r="E7" s="6"/>
    </row>
    <row r="8" spans="1:7" x14ac:dyDescent="0.35">
      <c r="A8" s="3" t="s">
        <v>53</v>
      </c>
      <c r="B8" s="5">
        <v>2207</v>
      </c>
      <c r="C8" s="5">
        <v>92</v>
      </c>
      <c r="D8" s="4"/>
      <c r="E8" s="8">
        <f>C8*B8</f>
        <v>203044</v>
      </c>
    </row>
    <row r="9" spans="1:7" x14ac:dyDescent="0.35">
      <c r="A9" s="3" t="s">
        <v>47</v>
      </c>
      <c r="B9" s="5">
        <v>1680</v>
      </c>
      <c r="C9" s="5">
        <v>24</v>
      </c>
      <c r="D9" s="4"/>
      <c r="E9" s="8">
        <f>C9*B9</f>
        <v>40320</v>
      </c>
    </row>
    <row r="10" spans="1:7" x14ac:dyDescent="0.35">
      <c r="A10" s="3" t="s">
        <v>46</v>
      </c>
      <c r="B10" s="5">
        <v>0</v>
      </c>
      <c r="C10" s="9">
        <v>0</v>
      </c>
      <c r="D10" s="4"/>
      <c r="E10" s="8">
        <f>C10*B10</f>
        <v>0</v>
      </c>
    </row>
    <row r="11" spans="1:7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243364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1569</v>
      </c>
      <c r="C16" s="5">
        <v>65.22</v>
      </c>
      <c r="D16" s="4"/>
      <c r="E16" s="10">
        <f>C16*B16</f>
        <v>102330.18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1569</v>
      </c>
      <c r="C19" s="12">
        <v>0.67</v>
      </c>
      <c r="D19" s="4"/>
      <c r="E19" s="8">
        <f t="shared" ref="E19:E34" si="0">C19*B19</f>
        <v>1051.23</v>
      </c>
    </row>
    <row r="20" spans="1:5" ht="15.5" x14ac:dyDescent="0.35">
      <c r="A20" s="3" t="s">
        <v>15</v>
      </c>
      <c r="B20" s="4">
        <v>1569</v>
      </c>
      <c r="C20" s="12">
        <v>0.75</v>
      </c>
      <c r="D20" s="4"/>
      <c r="E20" s="8">
        <f t="shared" si="0"/>
        <v>1176.75</v>
      </c>
    </row>
    <row r="21" spans="1:5" ht="15.5" x14ac:dyDescent="0.35">
      <c r="A21" s="3" t="s">
        <v>16</v>
      </c>
      <c r="B21" s="4">
        <v>1600</v>
      </c>
      <c r="C21" s="12">
        <v>0.39</v>
      </c>
      <c r="D21" s="4"/>
      <c r="E21" s="8">
        <f t="shared" si="0"/>
        <v>624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1590</v>
      </c>
      <c r="C25" s="12">
        <v>3.1</v>
      </c>
      <c r="D25" s="4"/>
      <c r="E25" s="8">
        <f t="shared" si="0"/>
        <v>4929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1569</v>
      </c>
      <c r="C28" s="12">
        <v>2.4</v>
      </c>
      <c r="D28" s="4"/>
      <c r="E28" s="8">
        <f t="shared" si="0"/>
        <v>3765.6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45</v>
      </c>
      <c r="C30" s="5">
        <v>67</v>
      </c>
      <c r="D30" s="4"/>
      <c r="E30" s="8">
        <f t="shared" si="0"/>
        <v>3015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0.75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14564.58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360258.76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229.61042702358191</v>
      </c>
    </row>
    <row r="39" spans="1:5" x14ac:dyDescent="0.35">
      <c r="A39" s="14" t="s">
        <v>34</v>
      </c>
      <c r="B39" s="15"/>
      <c r="C39" s="16"/>
      <c r="D39" s="17"/>
      <c r="E39" s="18">
        <f>D3-E37</f>
        <v>132407.24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26.875660183572641</v>
      </c>
      <c r="E41" s="28">
        <f>C3-E38</f>
        <v>84.389572976418094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26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19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096-D3A7-459F-AD0F-DB88D90FE685}">
  <dimension ref="A1:G54"/>
  <sheetViews>
    <sheetView topLeftCell="A29" workbookViewId="0">
      <selection activeCell="D41" sqref="D4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49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1188</v>
      </c>
      <c r="C2" s="5">
        <v>333</v>
      </c>
      <c r="D2" s="5">
        <f>C2*B2</f>
        <v>395604</v>
      </c>
      <c r="E2" s="6"/>
      <c r="G2" t="s">
        <v>50</v>
      </c>
    </row>
    <row r="3" spans="1:7" x14ac:dyDescent="0.35">
      <c r="A3" s="3" t="s">
        <v>5</v>
      </c>
      <c r="B3" s="4">
        <v>1167</v>
      </c>
      <c r="C3" s="5">
        <v>333</v>
      </c>
      <c r="D3" s="5">
        <f>C3*B3</f>
        <v>388611</v>
      </c>
      <c r="E3" s="6"/>
      <c r="G3" t="s">
        <v>51</v>
      </c>
    </row>
    <row r="4" spans="1:7" x14ac:dyDescent="0.35">
      <c r="A4" s="3"/>
      <c r="B4" s="5"/>
      <c r="C4" s="5"/>
      <c r="D4" s="5"/>
      <c r="E4" s="6"/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1.21</v>
      </c>
      <c r="C7" s="5"/>
      <c r="D7" s="4"/>
      <c r="E7" s="6"/>
    </row>
    <row r="8" spans="1:7" x14ac:dyDescent="0.35">
      <c r="A8" s="3" t="s">
        <v>52</v>
      </c>
      <c r="B8" s="5">
        <v>1427</v>
      </c>
      <c r="C8" s="5">
        <v>79.66</v>
      </c>
      <c r="D8" s="4"/>
      <c r="E8" s="8">
        <f>C8*B8</f>
        <v>113674.81999999999</v>
      </c>
    </row>
    <row r="9" spans="1:7" x14ac:dyDescent="0.35">
      <c r="A9" s="3" t="s">
        <v>47</v>
      </c>
      <c r="B9" s="5">
        <v>1200</v>
      </c>
      <c r="C9" s="5">
        <v>65</v>
      </c>
      <c r="D9" s="4"/>
      <c r="E9" s="8">
        <f>C9*B9</f>
        <v>78000</v>
      </c>
    </row>
    <row r="10" spans="1:7" x14ac:dyDescent="0.35">
      <c r="A10" s="3" t="s">
        <v>46</v>
      </c>
      <c r="B10" s="5">
        <v>1400</v>
      </c>
      <c r="C10" s="9">
        <v>2.8</v>
      </c>
      <c r="D10" s="4"/>
      <c r="E10" s="8">
        <f>C10*B10</f>
        <v>3919.9999999999995</v>
      </c>
    </row>
    <row r="11" spans="1:7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195594.82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1167</v>
      </c>
      <c r="C16" s="5">
        <v>74.680000000000007</v>
      </c>
      <c r="D16" s="4"/>
      <c r="E16" s="10">
        <f>C16*B16</f>
        <v>87151.560000000012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1200</v>
      </c>
      <c r="C19" s="12">
        <v>0.67</v>
      </c>
      <c r="D19" s="4"/>
      <c r="E19" s="8">
        <f t="shared" ref="E19:E34" si="0">C19*B19</f>
        <v>804</v>
      </c>
    </row>
    <row r="20" spans="1:5" ht="15.5" x14ac:dyDescent="0.35">
      <c r="A20" s="3" t="s">
        <v>15</v>
      </c>
      <c r="B20" s="4">
        <v>1200</v>
      </c>
      <c r="C20" s="12">
        <v>0.75</v>
      </c>
      <c r="D20" s="4"/>
      <c r="E20" s="8">
        <f t="shared" si="0"/>
        <v>900</v>
      </c>
    </row>
    <row r="21" spans="1:5" ht="15.5" x14ac:dyDescent="0.35">
      <c r="A21" s="3" t="s">
        <v>16</v>
      </c>
      <c r="B21" s="4">
        <v>1200</v>
      </c>
      <c r="C21" s="12">
        <v>0.39</v>
      </c>
      <c r="D21" s="4"/>
      <c r="E21" s="8">
        <f t="shared" si="0"/>
        <v>468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1200</v>
      </c>
      <c r="C25" s="12">
        <v>3.1</v>
      </c>
      <c r="D25" s="4"/>
      <c r="E25" s="8">
        <f t="shared" si="0"/>
        <v>3720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2.0499999999999998</v>
      </c>
      <c r="D28" s="4"/>
      <c r="E28" s="8">
        <f t="shared" si="0"/>
        <v>2460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33</v>
      </c>
      <c r="C30" s="5">
        <v>67</v>
      </c>
      <c r="D30" s="4"/>
      <c r="E30" s="8">
        <f t="shared" si="0"/>
        <v>2211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10566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293312.38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251.33880034275921</v>
      </c>
    </row>
    <row r="39" spans="1:5" x14ac:dyDescent="0.35">
      <c r="A39" s="14" t="s">
        <v>34</v>
      </c>
      <c r="B39" s="15"/>
      <c r="C39" s="16"/>
      <c r="D39" s="17"/>
      <c r="E39" s="18">
        <f>D3-E37</f>
        <v>95298.62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24.522882779952187</v>
      </c>
      <c r="E41" s="28">
        <f>C3-E38</f>
        <v>81.661199657240786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/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13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/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F742-EDFC-41DB-99BF-337104256145}">
  <dimension ref="A1:E54"/>
  <sheetViews>
    <sheetView topLeftCell="A24" workbookViewId="0">
      <selection activeCell="E38" sqref="E3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55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13">
        <v>1188</v>
      </c>
      <c r="C2" s="13">
        <v>365</v>
      </c>
      <c r="D2" s="13">
        <f>C2*B2</f>
        <v>433620</v>
      </c>
      <c r="E2" s="6"/>
    </row>
    <row r="3" spans="1:5" x14ac:dyDescent="0.35">
      <c r="A3" s="3" t="s">
        <v>5</v>
      </c>
      <c r="B3" s="13">
        <v>1188</v>
      </c>
      <c r="C3" s="13">
        <v>365</v>
      </c>
      <c r="D3" s="13">
        <f>C3*B3</f>
        <v>433620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1.9</v>
      </c>
      <c r="C7" s="5"/>
      <c r="D7" s="4"/>
      <c r="E7" s="6"/>
    </row>
    <row r="8" spans="1:5" x14ac:dyDescent="0.35">
      <c r="A8" s="3" t="s">
        <v>54</v>
      </c>
      <c r="B8" s="5">
        <v>2320</v>
      </c>
      <c r="C8" s="5">
        <v>79.66</v>
      </c>
      <c r="D8" s="4"/>
      <c r="E8" s="8">
        <f>C8*B8</f>
        <v>184811.19999999998</v>
      </c>
    </row>
    <row r="9" spans="1:5" x14ac:dyDescent="0.35">
      <c r="A9" s="3" t="s">
        <v>47</v>
      </c>
      <c r="B9" s="5">
        <v>1200</v>
      </c>
      <c r="C9" s="5">
        <v>49.5</v>
      </c>
      <c r="D9" s="4"/>
      <c r="E9" s="8">
        <f>C9*B9</f>
        <v>59400</v>
      </c>
    </row>
    <row r="10" spans="1:5" x14ac:dyDescent="0.35">
      <c r="A10" s="3" t="s">
        <v>46</v>
      </c>
      <c r="B10" s="5">
        <v>0</v>
      </c>
      <c r="C10" s="9">
        <v>0</v>
      </c>
      <c r="D10" s="4"/>
      <c r="E10" s="8">
        <f>C10*B10</f>
        <v>0</v>
      </c>
    </row>
    <row r="11" spans="1:5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244211.19999999998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1188</v>
      </c>
      <c r="C16" s="5">
        <v>65.77</v>
      </c>
      <c r="D16" s="4"/>
      <c r="E16" s="10">
        <f>C16*B16</f>
        <v>78134.759999999995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1206</v>
      </c>
      <c r="C19" s="12">
        <v>0.67</v>
      </c>
      <c r="D19" s="4"/>
      <c r="E19" s="8">
        <f t="shared" ref="E19:E34" si="0">C19*B19</f>
        <v>808.0200000000001</v>
      </c>
    </row>
    <row r="20" spans="1:5" ht="15.5" x14ac:dyDescent="0.35">
      <c r="A20" s="3" t="s">
        <v>15</v>
      </c>
      <c r="B20" s="4">
        <v>1206</v>
      </c>
      <c r="C20" s="12">
        <v>0.75</v>
      </c>
      <c r="D20" s="4"/>
      <c r="E20" s="8">
        <f t="shared" si="0"/>
        <v>904.5</v>
      </c>
    </row>
    <row r="21" spans="1:5" ht="15.5" x14ac:dyDescent="0.35">
      <c r="A21" s="3" t="s">
        <v>16</v>
      </c>
      <c r="B21" s="4">
        <v>1220</v>
      </c>
      <c r="C21" s="12">
        <v>0.39</v>
      </c>
      <c r="D21" s="4"/>
      <c r="E21" s="8">
        <f t="shared" si="0"/>
        <v>475.8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1220</v>
      </c>
      <c r="C25" s="12">
        <v>3.1</v>
      </c>
      <c r="D25" s="4"/>
      <c r="E25" s="8">
        <f t="shared" si="0"/>
        <v>3782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2.0499999999999998</v>
      </c>
      <c r="D28" s="4"/>
      <c r="E28" s="8">
        <f t="shared" si="0"/>
        <v>2460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33</v>
      </c>
      <c r="C30" s="5">
        <v>67</v>
      </c>
      <c r="D30" s="4"/>
      <c r="E30" s="8">
        <f t="shared" si="0"/>
        <v>2211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10644.32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332990.27999999997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280.29484848484844</v>
      </c>
    </row>
    <row r="39" spans="1:5" x14ac:dyDescent="0.35">
      <c r="A39" s="14" t="s">
        <v>34</v>
      </c>
      <c r="B39" s="15"/>
      <c r="C39" s="16"/>
      <c r="D39" s="17"/>
      <c r="E39" s="18">
        <f>D3-E37</f>
        <v>100629.72000000003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23.206890826068918</v>
      </c>
      <c r="E41" s="28">
        <f>C3-E38</f>
        <v>84.705151515151556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7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29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7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0067-0B07-41F3-AD18-A7CD29CEA1EC}">
  <dimension ref="A1:G54"/>
  <sheetViews>
    <sheetView topLeftCell="A18" workbookViewId="0">
      <selection activeCell="C26" sqref="C2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63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13">
        <v>1740</v>
      </c>
      <c r="C2" s="13">
        <v>320</v>
      </c>
      <c r="D2" s="13">
        <f>C2*B2</f>
        <v>556800</v>
      </c>
      <c r="E2" s="6"/>
      <c r="G2" t="s">
        <v>65</v>
      </c>
    </row>
    <row r="3" spans="1:7" x14ac:dyDescent="0.35">
      <c r="A3" s="3" t="s">
        <v>5</v>
      </c>
      <c r="B3" s="13">
        <v>1740</v>
      </c>
      <c r="C3" s="13">
        <v>320</v>
      </c>
      <c r="D3" s="13">
        <f>C3*B3</f>
        <v>556800</v>
      </c>
      <c r="E3" s="6"/>
      <c r="G3" t="s">
        <v>66</v>
      </c>
    </row>
    <row r="4" spans="1:7" x14ac:dyDescent="0.35">
      <c r="A4" s="3"/>
      <c r="B4" s="5"/>
      <c r="C4" s="5"/>
      <c r="D4" s="5"/>
      <c r="E4" s="6"/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1.51</v>
      </c>
      <c r="C7" s="5"/>
      <c r="D7" s="4"/>
      <c r="E7" s="6"/>
    </row>
    <row r="8" spans="1:7" x14ac:dyDescent="0.35">
      <c r="A8" s="3" t="s">
        <v>64</v>
      </c>
      <c r="B8" s="5">
        <v>2800</v>
      </c>
      <c r="C8" s="5">
        <v>95.76</v>
      </c>
      <c r="D8" s="4"/>
      <c r="E8" s="8">
        <f>C8*B8</f>
        <v>268128</v>
      </c>
    </row>
    <row r="9" spans="1:7" x14ac:dyDescent="0.35">
      <c r="A9" s="3" t="s">
        <v>47</v>
      </c>
      <c r="B9" s="5">
        <v>2800</v>
      </c>
      <c r="C9" s="5">
        <v>12</v>
      </c>
      <c r="D9" s="4"/>
      <c r="E9" s="8">
        <f>C9*B9</f>
        <v>33600</v>
      </c>
    </row>
    <row r="10" spans="1:7" x14ac:dyDescent="0.35">
      <c r="A10" s="3" t="s">
        <v>67</v>
      </c>
      <c r="B10" s="5">
        <v>2800</v>
      </c>
      <c r="C10" s="9">
        <v>0.5</v>
      </c>
      <c r="D10" s="4"/>
      <c r="E10" s="8">
        <f>C10*B10</f>
        <v>1400</v>
      </c>
    </row>
    <row r="11" spans="1:7" x14ac:dyDescent="0.35">
      <c r="A11" s="3" t="s">
        <v>8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303128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1740</v>
      </c>
      <c r="C16" s="5">
        <v>56.75</v>
      </c>
      <c r="D16" s="4"/>
      <c r="E16" s="10">
        <f>C16*B16</f>
        <v>98745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1206</v>
      </c>
      <c r="C19" s="12">
        <v>0.67</v>
      </c>
      <c r="D19" s="4"/>
      <c r="E19" s="8">
        <f t="shared" ref="E19:E34" si="0">C19*B19</f>
        <v>808.0200000000001</v>
      </c>
    </row>
    <row r="20" spans="1:5" ht="15.5" x14ac:dyDescent="0.35">
      <c r="A20" s="3" t="s">
        <v>15</v>
      </c>
      <c r="B20" s="4">
        <v>1206</v>
      </c>
      <c r="C20" s="12">
        <v>0.75</v>
      </c>
      <c r="D20" s="4"/>
      <c r="E20" s="8">
        <f t="shared" si="0"/>
        <v>904.5</v>
      </c>
    </row>
    <row r="21" spans="1:5" ht="15.5" x14ac:dyDescent="0.35">
      <c r="A21" s="3" t="s">
        <v>16</v>
      </c>
      <c r="B21" s="4">
        <v>1220</v>
      </c>
      <c r="C21" s="12">
        <v>0.39</v>
      </c>
      <c r="D21" s="4"/>
      <c r="E21" s="8">
        <f t="shared" si="0"/>
        <v>475.8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0</v>
      </c>
      <c r="C24" s="12">
        <v>0.75</v>
      </c>
      <c r="D24" s="4"/>
      <c r="E24" s="8">
        <f t="shared" si="0"/>
        <v>0</v>
      </c>
    </row>
    <row r="25" spans="1:5" ht="15.5" x14ac:dyDescent="0.35">
      <c r="A25" s="3" t="s">
        <v>20</v>
      </c>
      <c r="B25" s="4">
        <v>1220</v>
      </c>
      <c r="C25" s="12">
        <v>3.1</v>
      </c>
      <c r="D25" s="4"/>
      <c r="E25" s="8">
        <f t="shared" si="0"/>
        <v>3782</v>
      </c>
    </row>
    <row r="26" spans="1:5" ht="15.5" x14ac:dyDescent="0.35">
      <c r="A26" s="3" t="s">
        <v>21</v>
      </c>
      <c r="B26" s="4">
        <v>0</v>
      </c>
      <c r="C26" s="12">
        <v>0</v>
      </c>
      <c r="D26" s="4"/>
      <c r="E26" s="8">
        <f t="shared" si="0"/>
        <v>0</v>
      </c>
    </row>
    <row r="27" spans="1:5" ht="15.5" x14ac:dyDescent="0.35">
      <c r="A27" s="3" t="s">
        <v>22</v>
      </c>
      <c r="B27" s="4">
        <v>0</v>
      </c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1200</v>
      </c>
      <c r="C28" s="12">
        <v>2.0499999999999998</v>
      </c>
      <c r="D28" s="4"/>
      <c r="E28" s="8">
        <f t="shared" si="0"/>
        <v>2460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33</v>
      </c>
      <c r="C30" s="5">
        <v>67</v>
      </c>
      <c r="D30" s="4"/>
      <c r="E30" s="8">
        <f t="shared" si="0"/>
        <v>2211</v>
      </c>
    </row>
    <row r="31" spans="1:5" x14ac:dyDescent="0.35">
      <c r="A31" s="3" t="s">
        <v>26</v>
      </c>
      <c r="B31" s="4">
        <v>0</v>
      </c>
      <c r="C31" s="5">
        <v>0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0</v>
      </c>
      <c r="C32" s="5">
        <v>0.75</v>
      </c>
      <c r="D32" s="4"/>
      <c r="E32" s="8">
        <f>C32*B32</f>
        <v>0</v>
      </c>
    </row>
    <row r="33" spans="1:5" x14ac:dyDescent="0.35">
      <c r="A33" s="3" t="s">
        <v>28</v>
      </c>
      <c r="B33" s="13">
        <v>1</v>
      </c>
      <c r="C33" s="5">
        <v>3</v>
      </c>
      <c r="D33" s="4"/>
      <c r="E33" s="8">
        <f t="shared" si="0"/>
        <v>3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10644.32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412517.32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237.07891954022989</v>
      </c>
    </row>
    <row r="39" spans="1:5" x14ac:dyDescent="0.35">
      <c r="A39" s="14" t="s">
        <v>34</v>
      </c>
      <c r="B39" s="15"/>
      <c r="C39" s="16"/>
      <c r="D39" s="17"/>
      <c r="E39" s="18">
        <f>D3-E37</f>
        <v>144282.68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25.912837643678159</v>
      </c>
      <c r="E41" s="28">
        <f>C3-E38</f>
        <v>82.92108045977011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58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13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12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DA10-5665-410E-8F96-9A888B8D471E}">
  <dimension ref="A1:E54"/>
  <sheetViews>
    <sheetView workbookViewId="0">
      <selection activeCell="B8" sqref="B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58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</row>
    <row r="3" spans="1:5" x14ac:dyDescent="0.35">
      <c r="A3" s="3" t="s">
        <v>5</v>
      </c>
      <c r="B3" s="4">
        <v>8347</v>
      </c>
      <c r="C3" s="5">
        <v>225</v>
      </c>
      <c r="D3" s="5">
        <f>C3*B3</f>
        <v>1878075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/>
      <c r="C7" s="5"/>
      <c r="D7" s="4"/>
      <c r="E7" s="6"/>
    </row>
    <row r="8" spans="1:5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5" x14ac:dyDescent="0.35">
      <c r="A9" s="3" t="s">
        <v>60</v>
      </c>
      <c r="B9" s="5">
        <v>13857</v>
      </c>
      <c r="C9" s="5">
        <v>72.55</v>
      </c>
      <c r="D9" s="4"/>
      <c r="E9" s="8">
        <f>C9*B9</f>
        <v>1005325.35</v>
      </c>
    </row>
    <row r="10" spans="1:5" x14ac:dyDescent="0.35">
      <c r="A10" s="3" t="s">
        <v>61</v>
      </c>
      <c r="B10" s="5">
        <v>8450</v>
      </c>
      <c r="C10" s="9">
        <v>18</v>
      </c>
      <c r="D10" s="4"/>
      <c r="E10" s="8">
        <f>C10*B10</f>
        <v>152100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1157425.3500000001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8347</v>
      </c>
      <c r="C16" s="5">
        <v>58</v>
      </c>
      <c r="D16" s="4"/>
      <c r="E16" s="10">
        <f>C16*B16</f>
        <v>484126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8450</v>
      </c>
      <c r="C19" s="12">
        <v>0.55000000000000004</v>
      </c>
      <c r="D19" s="4"/>
      <c r="E19" s="8">
        <f t="shared" ref="E19:E34" si="0">C19*B19</f>
        <v>4647.5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8450</v>
      </c>
      <c r="C21" s="12">
        <v>0.39</v>
      </c>
      <c r="D21" s="4"/>
      <c r="E21" s="8">
        <f t="shared" si="0"/>
        <v>3295.5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8450</v>
      </c>
      <c r="C24" s="12">
        <v>0.75</v>
      </c>
      <c r="D24" s="4"/>
      <c r="E24" s="8">
        <f t="shared" si="0"/>
        <v>6337.5</v>
      </c>
    </row>
    <row r="25" spans="1:5" ht="15.5" x14ac:dyDescent="0.35">
      <c r="A25" s="3" t="s">
        <v>20</v>
      </c>
      <c r="B25" s="4">
        <v>8450</v>
      </c>
      <c r="C25" s="12">
        <v>1.75</v>
      </c>
      <c r="D25" s="4"/>
      <c r="E25" s="8">
        <f t="shared" si="0"/>
        <v>14787.5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8450</v>
      </c>
      <c r="C28" s="12">
        <v>1.92</v>
      </c>
      <c r="D28" s="4"/>
      <c r="E28" s="8">
        <f t="shared" si="0"/>
        <v>16224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174</v>
      </c>
      <c r="C30" s="5">
        <v>67</v>
      </c>
      <c r="D30" s="4"/>
      <c r="E30" s="8">
        <f t="shared" si="0"/>
        <v>11658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174</v>
      </c>
      <c r="C32" s="5">
        <v>0.6</v>
      </c>
      <c r="D32" s="4"/>
      <c r="E32" s="8">
        <f>C32*B32</f>
        <v>104.39999999999999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66273.149999999994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1707824.5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204.60339043967892</v>
      </c>
    </row>
    <row r="39" spans="1:5" x14ac:dyDescent="0.35">
      <c r="A39" s="14" t="s">
        <v>34</v>
      </c>
      <c r="B39" s="15"/>
      <c r="C39" s="16"/>
      <c r="D39" s="17"/>
      <c r="E39" s="18">
        <f>D3-E37</f>
        <v>170250.5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9.0651598045871467</v>
      </c>
      <c r="E41" s="28">
        <f>C3-E38</f>
        <v>20.396609560321082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36.6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8822-4B05-4A1E-8272-5DC471E1697F}">
  <dimension ref="A1:E54"/>
  <sheetViews>
    <sheetView workbookViewId="0">
      <selection activeCell="B13" sqref="B13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149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9045</v>
      </c>
      <c r="C2" s="5">
        <v>200</v>
      </c>
      <c r="D2" s="5">
        <f>C2*B2</f>
        <v>1809000</v>
      </c>
      <c r="E2" s="6"/>
    </row>
    <row r="3" spans="1:5" x14ac:dyDescent="0.35">
      <c r="A3" s="3" t="s">
        <v>5</v>
      </c>
      <c r="B3" s="4">
        <v>8381</v>
      </c>
      <c r="C3" s="5">
        <v>200</v>
      </c>
      <c r="D3" s="5">
        <f>C3*B3</f>
        <v>1676200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1.54</v>
      </c>
      <c r="C7" s="5"/>
      <c r="D7" s="4"/>
      <c r="E7" s="6"/>
    </row>
    <row r="8" spans="1:5" x14ac:dyDescent="0.35">
      <c r="A8" s="3" t="s">
        <v>59</v>
      </c>
      <c r="B8" s="5">
        <v>0</v>
      </c>
      <c r="C8" s="5">
        <v>45</v>
      </c>
      <c r="D8" s="4"/>
      <c r="E8" s="8">
        <f>C8*B8</f>
        <v>0</v>
      </c>
    </row>
    <row r="9" spans="1:5" x14ac:dyDescent="0.35">
      <c r="A9" s="3" t="s">
        <v>60</v>
      </c>
      <c r="B9" s="5">
        <v>13541</v>
      </c>
      <c r="C9" s="5">
        <v>72.55</v>
      </c>
      <c r="D9" s="4"/>
      <c r="E9" s="8">
        <f>C9*B9</f>
        <v>982399.54999999993</v>
      </c>
    </row>
    <row r="10" spans="1:5" x14ac:dyDescent="0.35">
      <c r="A10" s="3" t="s">
        <v>135</v>
      </c>
      <c r="B10" s="5">
        <v>9000</v>
      </c>
      <c r="C10" s="9">
        <v>1.2</v>
      </c>
      <c r="D10" s="4"/>
      <c r="E10" s="8">
        <f>C10*B10</f>
        <v>10800</v>
      </c>
    </row>
    <row r="11" spans="1:5" x14ac:dyDescent="0.35">
      <c r="A11" s="3" t="s">
        <v>46</v>
      </c>
      <c r="B11" s="5">
        <v>0</v>
      </c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993199.54999999993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8381</v>
      </c>
      <c r="C16" s="5">
        <v>63.48</v>
      </c>
      <c r="D16" s="4"/>
      <c r="E16" s="10">
        <f>C16*B16</f>
        <v>532025.88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9050</v>
      </c>
      <c r="C19" s="12">
        <v>0.55000000000000004</v>
      </c>
      <c r="D19" s="4"/>
      <c r="E19" s="8">
        <f t="shared" ref="E19:E34" si="0">C19*B19</f>
        <v>4977.5</v>
      </c>
    </row>
    <row r="20" spans="1:5" ht="15.5" x14ac:dyDescent="0.35">
      <c r="A20" s="3" t="s">
        <v>15</v>
      </c>
      <c r="B20" s="4">
        <v>0</v>
      </c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9050</v>
      </c>
      <c r="C21" s="12">
        <v>0.39</v>
      </c>
      <c r="D21" s="4"/>
      <c r="E21" s="8">
        <f t="shared" si="0"/>
        <v>3529.5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9050</v>
      </c>
      <c r="C24" s="12">
        <v>0.75</v>
      </c>
      <c r="D24" s="4"/>
      <c r="E24" s="8">
        <f t="shared" si="0"/>
        <v>6787.5</v>
      </c>
    </row>
    <row r="25" spans="1:5" ht="15.5" x14ac:dyDescent="0.35">
      <c r="A25" s="3" t="s">
        <v>20</v>
      </c>
      <c r="B25" s="4">
        <v>9050</v>
      </c>
      <c r="C25" s="12">
        <v>1.75</v>
      </c>
      <c r="D25" s="4"/>
      <c r="E25" s="8">
        <f t="shared" si="0"/>
        <v>15837.5</v>
      </c>
    </row>
    <row r="26" spans="1:5" ht="15.5" x14ac:dyDescent="0.35">
      <c r="A26" s="3" t="s">
        <v>21</v>
      </c>
      <c r="B26" s="4">
        <v>0</v>
      </c>
      <c r="C26" s="12">
        <v>0.4</v>
      </c>
      <c r="D26" s="4"/>
      <c r="E26" s="8">
        <f t="shared" si="0"/>
        <v>0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9050</v>
      </c>
      <c r="C28" s="12">
        <v>1.92</v>
      </c>
      <c r="D28" s="4"/>
      <c r="E28" s="8">
        <f t="shared" si="0"/>
        <v>17376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150</v>
      </c>
      <c r="C30" s="5">
        <v>67</v>
      </c>
      <c r="D30" s="4"/>
      <c r="E30" s="8">
        <f t="shared" si="0"/>
        <v>10050</v>
      </c>
    </row>
    <row r="31" spans="1:5" x14ac:dyDescent="0.35">
      <c r="A31" s="3" t="s">
        <v>26</v>
      </c>
      <c r="B31" s="4"/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60</v>
      </c>
      <c r="C32" s="5">
        <v>0.6</v>
      </c>
      <c r="D32" s="4"/>
      <c r="E32" s="8">
        <f>C32*B32</f>
        <v>36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58598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1583823.4299999997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188.97785825080535</v>
      </c>
    </row>
    <row r="39" spans="1:5" x14ac:dyDescent="0.35">
      <c r="A39" s="14" t="s">
        <v>34</v>
      </c>
      <c r="B39" s="15"/>
      <c r="C39" s="16"/>
      <c r="D39" s="17"/>
      <c r="E39" s="18">
        <f>D3-E37</f>
        <v>92376.570000000298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5.5110708745973227</v>
      </c>
      <c r="E41" s="28">
        <f>C3-E38</f>
        <v>11.022141749194645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36.6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CEDC-70AF-4B39-A0A3-CA1D9EF82584}">
  <sheetPr>
    <tabColor rgb="FF92D050"/>
  </sheetPr>
  <dimension ref="A1:G54"/>
  <sheetViews>
    <sheetView topLeftCell="A28" workbookViewId="0">
      <selection activeCell="C16" sqref="C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84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85</v>
      </c>
    </row>
    <row r="3" spans="1:7" x14ac:dyDescent="0.35">
      <c r="A3" s="3" t="s">
        <v>5</v>
      </c>
      <c r="B3" s="4">
        <v>8501</v>
      </c>
      <c r="C3" s="5">
        <v>225</v>
      </c>
      <c r="D3" s="5">
        <f>C3*B3</f>
        <v>1912725</v>
      </c>
      <c r="E3" s="6"/>
      <c r="G3" t="s">
        <v>86</v>
      </c>
    </row>
    <row r="4" spans="1:7" x14ac:dyDescent="0.35">
      <c r="A4" s="3"/>
      <c r="B4" s="5"/>
      <c r="C4" s="5"/>
      <c r="D4" s="5"/>
      <c r="E4" s="6"/>
      <c r="G4" t="s">
        <v>87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1.52</v>
      </c>
      <c r="C7" s="5"/>
      <c r="D7" s="4"/>
      <c r="E7" s="6"/>
      <c r="G7" t="s">
        <v>99</v>
      </c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f>14038-600</f>
        <v>13438</v>
      </c>
      <c r="C9" s="5">
        <v>72.55</v>
      </c>
      <c r="D9" s="4"/>
      <c r="E9" s="8">
        <f>C9*B9</f>
        <v>974926.89999999991</v>
      </c>
    </row>
    <row r="10" spans="1:7" x14ac:dyDescent="0.35">
      <c r="A10" s="3" t="s">
        <v>61</v>
      </c>
      <c r="B10" s="5">
        <v>8600</v>
      </c>
      <c r="C10" s="9">
        <v>18</v>
      </c>
      <c r="D10" s="4"/>
      <c r="E10" s="8">
        <f>C10*B10</f>
        <v>154800</v>
      </c>
    </row>
    <row r="11" spans="1:7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1129726.8999999999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8501</v>
      </c>
      <c r="C16" s="5">
        <v>61.32</v>
      </c>
      <c r="D16" s="4"/>
      <c r="E16" s="10">
        <f>C16*B16</f>
        <v>521281.32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8501</v>
      </c>
      <c r="C19" s="12">
        <v>0.55000000000000004</v>
      </c>
      <c r="D19" s="4"/>
      <c r="E19" s="8">
        <f t="shared" ref="E19:E34" si="0">C19*B19</f>
        <v>4675.55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8550</v>
      </c>
      <c r="C21" s="12">
        <v>0.39</v>
      </c>
      <c r="D21" s="4"/>
      <c r="E21" s="8">
        <f t="shared" si="0"/>
        <v>3334.5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8501</v>
      </c>
      <c r="C24" s="12">
        <v>0.75</v>
      </c>
      <c r="D24" s="4"/>
      <c r="E24" s="8">
        <f t="shared" si="0"/>
        <v>6375.75</v>
      </c>
    </row>
    <row r="25" spans="1:5" ht="15.5" x14ac:dyDescent="0.35">
      <c r="A25" s="3" t="s">
        <v>20</v>
      </c>
      <c r="B25" s="4">
        <v>8550</v>
      </c>
      <c r="C25" s="12">
        <v>1.75</v>
      </c>
      <c r="D25" s="4"/>
      <c r="E25" s="8">
        <f t="shared" si="0"/>
        <v>14962.5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8501</v>
      </c>
      <c r="C28" s="12">
        <v>1.92</v>
      </c>
      <c r="D28" s="4"/>
      <c r="E28" s="8">
        <f t="shared" si="0"/>
        <v>16321.92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180</v>
      </c>
      <c r="C30" s="5">
        <v>67</v>
      </c>
      <c r="D30" s="4"/>
      <c r="E30" s="8">
        <f t="shared" si="0"/>
        <v>12060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180</v>
      </c>
      <c r="C32" s="5">
        <v>0.6</v>
      </c>
      <c r="D32" s="4"/>
      <c r="E32" s="8">
        <f>C32*B32</f>
        <v>108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67056.97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1718065.19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202.10153981884483</v>
      </c>
    </row>
    <row r="39" spans="1:5" x14ac:dyDescent="0.35">
      <c r="A39" s="14" t="s">
        <v>34</v>
      </c>
      <c r="B39" s="15"/>
      <c r="C39" s="16"/>
      <c r="D39" s="17"/>
      <c r="E39" s="18">
        <f>D3-E37</f>
        <v>194659.81000000006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10.177093413846745</v>
      </c>
      <c r="E41" s="28">
        <f>C3-E38</f>
        <v>22.898460181155173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590</v>
      </c>
      <c r="C44" s="35">
        <v>40</v>
      </c>
      <c r="D44" s="36"/>
      <c r="E44" s="8">
        <f>B44*C44</f>
        <v>23600</v>
      </c>
    </row>
    <row r="45" spans="1:5" x14ac:dyDescent="0.35">
      <c r="A45" s="3" t="s">
        <v>39</v>
      </c>
      <c r="B45" s="37">
        <v>46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42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23600</v>
      </c>
    </row>
    <row r="50" spans="1:5" ht="15" thickBot="1" x14ac:dyDescent="0.4">
      <c r="A50" s="39" t="s">
        <v>43</v>
      </c>
      <c r="B50" s="40"/>
      <c r="C50" s="40"/>
      <c r="D50" s="41">
        <f>E49/E37%</f>
        <v>1.3736382145080304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529E-8230-496E-B0D5-02F68B865F82}">
  <dimension ref="A1:G54"/>
  <sheetViews>
    <sheetView topLeftCell="A33" workbookViewId="0">
      <selection activeCell="E51" sqref="E5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88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97</v>
      </c>
    </row>
    <row r="3" spans="1:7" x14ac:dyDescent="0.35">
      <c r="A3" s="3" t="s">
        <v>5</v>
      </c>
      <c r="B3" s="4">
        <v>8401</v>
      </c>
      <c r="C3" s="5">
        <v>225</v>
      </c>
      <c r="D3" s="5">
        <f>C3*B3</f>
        <v>1890225</v>
      </c>
      <c r="E3" s="6"/>
      <c r="G3" t="s">
        <v>86</v>
      </c>
    </row>
    <row r="4" spans="1:7" x14ac:dyDescent="0.35">
      <c r="A4" s="3"/>
      <c r="B4" s="5"/>
      <c r="C4" s="5"/>
      <c r="D4" s="5"/>
      <c r="E4" s="6"/>
      <c r="G4" t="s">
        <v>87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  <c r="G6" t="s">
        <v>101</v>
      </c>
    </row>
    <row r="7" spans="1:7" x14ac:dyDescent="0.35">
      <c r="A7" s="3" t="s">
        <v>7</v>
      </c>
      <c r="B7" s="4">
        <v>1.5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  <c r="G8" t="s">
        <v>98</v>
      </c>
    </row>
    <row r="9" spans="1:7" x14ac:dyDescent="0.35">
      <c r="A9" s="3" t="s">
        <v>60</v>
      </c>
      <c r="B9" s="5">
        <v>13000</v>
      </c>
      <c r="C9" s="5">
        <v>72.5</v>
      </c>
      <c r="D9" s="4"/>
      <c r="E9" s="8">
        <f>C9*B9</f>
        <v>942500</v>
      </c>
      <c r="G9" t="s">
        <v>100</v>
      </c>
    </row>
    <row r="10" spans="1:7" x14ac:dyDescent="0.35">
      <c r="A10" s="3" t="s">
        <v>61</v>
      </c>
      <c r="B10" s="5">
        <v>8500</v>
      </c>
      <c r="C10" s="9">
        <v>18</v>
      </c>
      <c r="D10" s="4"/>
      <c r="E10" s="8">
        <f>C10*B10</f>
        <v>153000</v>
      </c>
    </row>
    <row r="11" spans="1:7" x14ac:dyDescent="0.35">
      <c r="A11" s="3" t="s">
        <v>46</v>
      </c>
      <c r="B11" s="5"/>
      <c r="C11" s="5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1095500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8401</v>
      </c>
      <c r="C16" s="50">
        <v>62.44</v>
      </c>
      <c r="D16" s="4"/>
      <c r="E16" s="10">
        <f>C16*B16</f>
        <v>524558.43999999994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8476</v>
      </c>
      <c r="C19" s="12">
        <v>0.55000000000000004</v>
      </c>
      <c r="D19" s="4"/>
      <c r="E19" s="8">
        <f t="shared" ref="E19:E34" si="0">C19*B19</f>
        <v>4661.8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8500</v>
      </c>
      <c r="C21" s="12">
        <v>0.39</v>
      </c>
      <c r="D21" s="4"/>
      <c r="E21" s="8">
        <f t="shared" si="0"/>
        <v>3315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8476</v>
      </c>
      <c r="C24" s="12">
        <v>0.75</v>
      </c>
      <c r="D24" s="4"/>
      <c r="E24" s="8">
        <f t="shared" si="0"/>
        <v>6357</v>
      </c>
    </row>
    <row r="25" spans="1:5" ht="15.5" x14ac:dyDescent="0.35">
      <c r="A25" s="3" t="s">
        <v>20</v>
      </c>
      <c r="B25" s="4">
        <v>8500</v>
      </c>
      <c r="C25" s="12">
        <v>1.75</v>
      </c>
      <c r="D25" s="4"/>
      <c r="E25" s="8">
        <f t="shared" si="0"/>
        <v>14875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8476</v>
      </c>
      <c r="C28" s="12">
        <v>1.92</v>
      </c>
      <c r="D28" s="4"/>
      <c r="E28" s="8">
        <f t="shared" si="0"/>
        <v>16273.92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180</v>
      </c>
      <c r="C30" s="5">
        <v>67</v>
      </c>
      <c r="D30" s="4"/>
      <c r="E30" s="8">
        <f t="shared" si="0"/>
        <v>12060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180</v>
      </c>
      <c r="C32" s="5">
        <v>0.6</v>
      </c>
      <c r="D32" s="4"/>
      <c r="E32" s="8">
        <f>C32*B32</f>
        <v>108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66869.47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1686927.91</v>
      </c>
    </row>
    <row r="38" spans="1:5" ht="15" thickBot="1" x14ac:dyDescent="0.4">
      <c r="A38" s="7" t="s">
        <v>33</v>
      </c>
      <c r="B38" s="47"/>
      <c r="C38" s="4"/>
      <c r="D38" s="4"/>
      <c r="E38" s="10">
        <f>E37/B3</f>
        <v>200.80084632781811</v>
      </c>
    </row>
    <row r="39" spans="1:5" ht="15" thickBot="1" x14ac:dyDescent="0.4">
      <c r="A39" s="45" t="s">
        <v>34</v>
      </c>
      <c r="B39" s="49"/>
      <c r="C39" s="46"/>
      <c r="D39" s="17"/>
      <c r="E39" s="18">
        <f>D3-E37</f>
        <v>203297.09000000008</v>
      </c>
    </row>
    <row r="40" spans="1:5" ht="15" thickBot="1" x14ac:dyDescent="0.4">
      <c r="A40" s="19"/>
      <c r="B40" s="48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10.755179409858618</v>
      </c>
      <c r="E41" s="28">
        <f>C3-E38</f>
        <v>24.199153672181893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988</v>
      </c>
      <c r="C44" s="35">
        <v>35</v>
      </c>
      <c r="D44" s="36"/>
      <c r="E44" s="8">
        <f>B44*C44</f>
        <v>34580</v>
      </c>
    </row>
    <row r="45" spans="1:5" x14ac:dyDescent="0.35">
      <c r="A45" s="3" t="s">
        <v>39</v>
      </c>
      <c r="B45" s="37">
        <v>46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59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34580</v>
      </c>
    </row>
    <row r="50" spans="1:5" ht="15" thickBot="1" x14ac:dyDescent="0.4">
      <c r="A50" s="39" t="s">
        <v>43</v>
      </c>
      <c r="B50" s="40"/>
      <c r="C50" s="40"/>
      <c r="D50" s="41">
        <f>E49/E37%</f>
        <v>2.0498801279540158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346D-254A-4D7B-A0DD-7C9D730F940E}">
  <dimension ref="A1:G54"/>
  <sheetViews>
    <sheetView topLeftCell="A36" workbookViewId="0">
      <selection activeCell="D56" sqref="D5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88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89</v>
      </c>
    </row>
    <row r="3" spans="1:7" x14ac:dyDescent="0.35">
      <c r="A3" s="3" t="s">
        <v>5</v>
      </c>
      <c r="B3" s="4">
        <v>8217</v>
      </c>
      <c r="C3" s="5">
        <v>225</v>
      </c>
      <c r="D3" s="5">
        <f>C3*B3</f>
        <v>1848825</v>
      </c>
      <c r="E3" s="6"/>
      <c r="G3" t="s">
        <v>91</v>
      </c>
    </row>
    <row r="4" spans="1:7" x14ac:dyDescent="0.35">
      <c r="A4" s="3"/>
      <c r="B4" s="5"/>
      <c r="C4" s="5"/>
      <c r="D4" s="5"/>
      <c r="E4" s="6"/>
      <c r="G4" t="s">
        <v>90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1.55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v>12919</v>
      </c>
      <c r="C9" s="5">
        <v>68.3</v>
      </c>
      <c r="D9" s="4"/>
      <c r="E9" s="8">
        <f>C9*B9</f>
        <v>882367.7</v>
      </c>
    </row>
    <row r="10" spans="1:7" x14ac:dyDescent="0.35">
      <c r="A10" s="3" t="s">
        <v>61</v>
      </c>
      <c r="B10" s="5">
        <v>8500</v>
      </c>
      <c r="C10" s="9">
        <v>18</v>
      </c>
      <c r="D10" s="4"/>
      <c r="E10" s="8">
        <f>C10*B10</f>
        <v>153000</v>
      </c>
    </row>
    <row r="11" spans="1:7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1035367.7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8217</v>
      </c>
      <c r="C16" s="5">
        <v>69.56</v>
      </c>
      <c r="D16" s="4"/>
      <c r="E16" s="10">
        <f>C16*B16</f>
        <v>571574.52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8281</v>
      </c>
      <c r="C19" s="12">
        <v>0.55000000000000004</v>
      </c>
      <c r="D19" s="4"/>
      <c r="E19" s="8">
        <f t="shared" ref="E19:E34" si="0">C19*B19</f>
        <v>4554.55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8500</v>
      </c>
      <c r="C21" s="12">
        <v>0.39</v>
      </c>
      <c r="D21" s="4"/>
      <c r="E21" s="8">
        <f t="shared" si="0"/>
        <v>3315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8281</v>
      </c>
      <c r="C24" s="12">
        <v>0.75</v>
      </c>
      <c r="D24" s="4"/>
      <c r="E24" s="8">
        <f t="shared" si="0"/>
        <v>6210.75</v>
      </c>
    </row>
    <row r="25" spans="1:5" ht="15.5" x14ac:dyDescent="0.35">
      <c r="A25" s="3" t="s">
        <v>20</v>
      </c>
      <c r="B25" s="4">
        <v>8500</v>
      </c>
      <c r="C25" s="12">
        <v>1.75</v>
      </c>
      <c r="D25" s="4"/>
      <c r="E25" s="8">
        <f t="shared" si="0"/>
        <v>14875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8217</v>
      </c>
      <c r="C28" s="12">
        <v>1.92</v>
      </c>
      <c r="D28" s="4"/>
      <c r="E28" s="8">
        <f t="shared" si="0"/>
        <v>15776.64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170</v>
      </c>
      <c r="C30" s="5">
        <v>67</v>
      </c>
      <c r="D30" s="4"/>
      <c r="E30" s="8">
        <f t="shared" si="0"/>
        <v>11390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170</v>
      </c>
      <c r="C32" s="5">
        <v>0.6</v>
      </c>
      <c r="D32" s="4"/>
      <c r="E32" s="8">
        <f>C32*B32</f>
        <v>102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65442.69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1672384.91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203.52743215285383</v>
      </c>
    </row>
    <row r="39" spans="1:5" x14ac:dyDescent="0.35">
      <c r="A39" s="14" t="s">
        <v>34</v>
      </c>
      <c r="B39" s="15"/>
      <c r="C39" s="16"/>
      <c r="D39" s="17"/>
      <c r="E39" s="18">
        <f>D3-E37</f>
        <v>176440.09000000008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9.5433634876205176</v>
      </c>
      <c r="E41" s="28">
        <f>C3-E38</f>
        <v>21.472567847146166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250</v>
      </c>
      <c r="C44" s="35">
        <v>35</v>
      </c>
      <c r="D44" s="36"/>
      <c r="E44" s="8">
        <f>B44*C44</f>
        <v>8750</v>
      </c>
    </row>
    <row r="45" spans="1:5" x14ac:dyDescent="0.35">
      <c r="A45" s="3" t="s">
        <v>39</v>
      </c>
      <c r="B45" s="37">
        <v>45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41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8750</v>
      </c>
    </row>
    <row r="50" spans="1:5" ht="15" thickBot="1" x14ac:dyDescent="0.4">
      <c r="A50" s="39" t="s">
        <v>43</v>
      </c>
      <c r="B50" s="40"/>
      <c r="C50" s="40"/>
      <c r="D50" s="41">
        <f>E49/E37%</f>
        <v>0.52320491219930942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FF7B-A090-4376-ADE3-A11341B6F1DD}">
  <dimension ref="A1:G54"/>
  <sheetViews>
    <sheetView workbookViewId="0">
      <selection sqref="A1:XFD104857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92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8448</v>
      </c>
      <c r="C2" s="5">
        <v>225</v>
      </c>
      <c r="D2" s="5">
        <f>C2*B2</f>
        <v>1900800</v>
      </c>
      <c r="E2" s="6"/>
      <c r="G2" t="s">
        <v>96</v>
      </c>
    </row>
    <row r="3" spans="1:7" x14ac:dyDescent="0.35">
      <c r="A3" s="3" t="s">
        <v>5</v>
      </c>
      <c r="B3" s="4">
        <v>8017</v>
      </c>
      <c r="C3" s="5">
        <v>225</v>
      </c>
      <c r="D3" s="5">
        <f>C3*B3</f>
        <v>1803825</v>
      </c>
      <c r="E3" s="6"/>
      <c r="G3" t="s">
        <v>93</v>
      </c>
    </row>
    <row r="4" spans="1:7" x14ac:dyDescent="0.35">
      <c r="A4" s="3"/>
      <c r="B4" s="5"/>
      <c r="C4" s="5"/>
      <c r="D4" s="5"/>
      <c r="E4" s="6"/>
      <c r="G4" t="s">
        <v>90</v>
      </c>
    </row>
    <row r="5" spans="1:7" x14ac:dyDescent="0.35">
      <c r="A5" s="3"/>
      <c r="B5" s="4"/>
      <c r="C5" s="5"/>
      <c r="D5" s="4"/>
      <c r="E5" s="6"/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1.48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v>12919</v>
      </c>
      <c r="C9" s="5">
        <v>68.3</v>
      </c>
      <c r="D9" s="4"/>
      <c r="E9" s="8">
        <f>C9*B9</f>
        <v>882367.7</v>
      </c>
    </row>
    <row r="10" spans="1:7" x14ac:dyDescent="0.35">
      <c r="A10" s="3" t="s">
        <v>94</v>
      </c>
      <c r="B10" s="5">
        <v>6000</v>
      </c>
      <c r="C10" s="9">
        <v>7</v>
      </c>
      <c r="D10" s="4"/>
      <c r="E10" s="8">
        <f>C10*B10</f>
        <v>42000</v>
      </c>
    </row>
    <row r="11" spans="1:7" x14ac:dyDescent="0.35">
      <c r="A11" s="3" t="s">
        <v>95</v>
      </c>
      <c r="B11" s="5">
        <v>7000</v>
      </c>
      <c r="C11" s="9">
        <v>4</v>
      </c>
      <c r="D11" s="4"/>
      <c r="E11" s="8">
        <f>C11*B11</f>
        <v>28000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952367.7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8017</v>
      </c>
      <c r="C16" s="50">
        <v>69.5</v>
      </c>
      <c r="D16" s="4"/>
      <c r="E16" s="10">
        <f>C16*B16</f>
        <v>557181.5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8091</v>
      </c>
      <c r="C19" s="12">
        <v>0.55000000000000004</v>
      </c>
      <c r="D19" s="4"/>
      <c r="E19" s="8">
        <f t="shared" ref="E19:E34" si="0">C19*B19</f>
        <v>4450.05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8500</v>
      </c>
      <c r="C21" s="12">
        <v>0.39</v>
      </c>
      <c r="D21" s="4"/>
      <c r="E21" s="8">
        <f t="shared" si="0"/>
        <v>3315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8091</v>
      </c>
      <c r="C24" s="12">
        <v>0.75</v>
      </c>
      <c r="D24" s="4"/>
      <c r="E24" s="8">
        <f t="shared" si="0"/>
        <v>6068.25</v>
      </c>
    </row>
    <row r="25" spans="1:5" ht="15.5" x14ac:dyDescent="0.35">
      <c r="A25" s="3" t="s">
        <v>20</v>
      </c>
      <c r="B25" s="4">
        <v>8500</v>
      </c>
      <c r="C25" s="12">
        <v>1.75</v>
      </c>
      <c r="D25" s="4"/>
      <c r="E25" s="8">
        <f t="shared" si="0"/>
        <v>14875</v>
      </c>
    </row>
    <row r="26" spans="1:5" ht="15.5" x14ac:dyDescent="0.35">
      <c r="A26" s="3" t="s">
        <v>21</v>
      </c>
      <c r="B26" s="4">
        <v>1271</v>
      </c>
      <c r="C26" s="12">
        <v>0.5</v>
      </c>
      <c r="D26" s="4"/>
      <c r="E26" s="8">
        <f t="shared" si="0"/>
        <v>635.5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8091</v>
      </c>
      <c r="C28" s="12">
        <v>1.92</v>
      </c>
      <c r="D28" s="4"/>
      <c r="E28" s="8">
        <f t="shared" si="0"/>
        <v>15534.72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171</v>
      </c>
      <c r="C30" s="5">
        <v>67</v>
      </c>
      <c r="D30" s="4"/>
      <c r="E30" s="8">
        <f t="shared" si="0"/>
        <v>11457</v>
      </c>
    </row>
    <row r="31" spans="1:5" x14ac:dyDescent="0.35">
      <c r="A31" s="3" t="s">
        <v>26</v>
      </c>
      <c r="B31" s="4">
        <v>1271</v>
      </c>
      <c r="C31" s="5">
        <v>6.75</v>
      </c>
      <c r="D31" s="4"/>
      <c r="E31" s="8">
        <f t="shared" si="0"/>
        <v>8579.25</v>
      </c>
    </row>
    <row r="32" spans="1:5" x14ac:dyDescent="0.35">
      <c r="A32" s="3" t="s">
        <v>27</v>
      </c>
      <c r="B32" s="4">
        <v>171</v>
      </c>
      <c r="C32" s="5">
        <v>0.6</v>
      </c>
      <c r="D32" s="4"/>
      <c r="E32" s="8">
        <f>C32*B32</f>
        <v>102.6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65021.369999999995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1574570.5699999998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196.40396282898837</v>
      </c>
    </row>
    <row r="39" spans="1:5" x14ac:dyDescent="0.35">
      <c r="A39" s="14" t="s">
        <v>34</v>
      </c>
      <c r="B39" s="15"/>
      <c r="C39" s="16"/>
      <c r="D39" s="17"/>
      <c r="E39" s="18">
        <f>D3-E37</f>
        <v>229254.43000000017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12.709349853782946</v>
      </c>
      <c r="E41" s="28">
        <f>C3-E38</f>
        <v>28.596037171011631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1412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45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49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55D7-6328-4B84-B0E8-BD34D74B194A}">
  <dimension ref="A1:G54"/>
  <sheetViews>
    <sheetView topLeftCell="A27" workbookViewId="0">
      <selection activeCell="E38" sqref="E3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7" x14ac:dyDescent="0.35">
      <c r="A1" s="1" t="s">
        <v>102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3" t="s">
        <v>4</v>
      </c>
      <c r="B2" s="4">
        <v>4002</v>
      </c>
      <c r="C2" s="5">
        <v>200</v>
      </c>
      <c r="D2" s="5">
        <f>C2*B2</f>
        <v>800400</v>
      </c>
      <c r="E2" s="6"/>
      <c r="G2" t="s">
        <v>112</v>
      </c>
    </row>
    <row r="3" spans="1:7" x14ac:dyDescent="0.35">
      <c r="A3" s="3" t="s">
        <v>5</v>
      </c>
      <c r="B3" s="4">
        <v>4002</v>
      </c>
      <c r="C3" s="5">
        <v>200</v>
      </c>
      <c r="D3" s="5">
        <f>C3*B3</f>
        <v>800400</v>
      </c>
      <c r="E3" s="6"/>
      <c r="G3" t="s">
        <v>115</v>
      </c>
    </row>
    <row r="4" spans="1:7" x14ac:dyDescent="0.35">
      <c r="A4" s="3"/>
      <c r="B4" s="5"/>
      <c r="C4" s="5"/>
      <c r="D4" s="5"/>
      <c r="E4" s="6"/>
      <c r="G4" t="s">
        <v>113</v>
      </c>
    </row>
    <row r="5" spans="1:7" x14ac:dyDescent="0.35">
      <c r="A5" s="3"/>
      <c r="B5" s="4"/>
      <c r="C5" s="5"/>
      <c r="D5" s="4"/>
      <c r="E5" s="6"/>
      <c r="G5" t="s">
        <v>114</v>
      </c>
    </row>
    <row r="6" spans="1:7" x14ac:dyDescent="0.35">
      <c r="A6" s="7" t="s">
        <v>6</v>
      </c>
      <c r="B6" s="4"/>
      <c r="C6" s="5"/>
      <c r="D6" s="4"/>
      <c r="E6" s="6"/>
    </row>
    <row r="7" spans="1:7" x14ac:dyDescent="0.35">
      <c r="A7" s="3" t="s">
        <v>7</v>
      </c>
      <c r="B7" s="4">
        <v>1.52</v>
      </c>
      <c r="C7" s="5"/>
      <c r="D7" s="4"/>
      <c r="E7" s="6"/>
    </row>
    <row r="8" spans="1:7" x14ac:dyDescent="0.35">
      <c r="A8" s="3" t="s">
        <v>59</v>
      </c>
      <c r="B8" s="5"/>
      <c r="C8" s="5">
        <v>0</v>
      </c>
      <c r="D8" s="4"/>
      <c r="E8" s="8">
        <f>C8*B8</f>
        <v>0</v>
      </c>
    </row>
    <row r="9" spans="1:7" x14ac:dyDescent="0.35">
      <c r="A9" s="3" t="s">
        <v>60</v>
      </c>
      <c r="B9" s="5">
        <v>6390</v>
      </c>
      <c r="C9" s="5">
        <v>75.05</v>
      </c>
      <c r="D9" s="4"/>
      <c r="E9" s="8">
        <f>C9*B9</f>
        <v>479569.5</v>
      </c>
    </row>
    <row r="10" spans="1:7" x14ac:dyDescent="0.35">
      <c r="A10" s="3" t="s">
        <v>94</v>
      </c>
      <c r="B10" s="5">
        <v>0</v>
      </c>
      <c r="C10" s="9">
        <v>0</v>
      </c>
      <c r="D10" s="4"/>
      <c r="E10" s="8">
        <f>C10*B10</f>
        <v>0</v>
      </c>
    </row>
    <row r="11" spans="1:7" x14ac:dyDescent="0.35">
      <c r="A11" s="3" t="s">
        <v>95</v>
      </c>
      <c r="B11" s="5">
        <v>0</v>
      </c>
      <c r="C11" s="9">
        <v>0</v>
      </c>
      <c r="D11" s="4"/>
      <c r="E11" s="8">
        <f>C11*B11</f>
        <v>0</v>
      </c>
    </row>
    <row r="12" spans="1:7" x14ac:dyDescent="0.35">
      <c r="A12" s="3" t="s">
        <v>9</v>
      </c>
      <c r="B12" s="5"/>
      <c r="C12" s="5"/>
      <c r="D12" s="4"/>
      <c r="E12" s="8">
        <f>B12*C13</f>
        <v>0</v>
      </c>
    </row>
    <row r="13" spans="1:7" x14ac:dyDescent="0.35">
      <c r="A13" s="3" t="s">
        <v>10</v>
      </c>
      <c r="C13" s="5"/>
      <c r="D13" s="4"/>
      <c r="E13" s="8">
        <f>B13*C14</f>
        <v>0</v>
      </c>
    </row>
    <row r="14" spans="1:7" x14ac:dyDescent="0.35">
      <c r="A14" s="7" t="s">
        <v>11</v>
      </c>
      <c r="B14" s="5"/>
      <c r="C14" s="5"/>
      <c r="D14" s="4"/>
      <c r="E14" s="10">
        <f>SUM(E8:E13)</f>
        <v>479569.5</v>
      </c>
    </row>
    <row r="15" spans="1:7" x14ac:dyDescent="0.35">
      <c r="A15" s="3"/>
      <c r="B15" s="5"/>
      <c r="C15" s="5"/>
      <c r="D15" s="4"/>
      <c r="E15" s="8"/>
    </row>
    <row r="16" spans="1:7" x14ac:dyDescent="0.35">
      <c r="A16" s="7" t="s">
        <v>12</v>
      </c>
      <c r="B16" s="4">
        <v>3400</v>
      </c>
      <c r="C16" s="38">
        <v>55</v>
      </c>
      <c r="D16" s="4"/>
      <c r="E16" s="10">
        <f>C16*B16</f>
        <v>187000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3400</v>
      </c>
      <c r="C19" s="12">
        <v>0.55000000000000004</v>
      </c>
      <c r="D19" s="4"/>
      <c r="E19" s="8">
        <f t="shared" ref="E19:E34" si="0">C19*B19</f>
        <v>1870.0000000000002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4050</v>
      </c>
      <c r="C21" s="12">
        <v>0.39</v>
      </c>
      <c r="D21" s="4"/>
      <c r="E21" s="8">
        <f t="shared" si="0"/>
        <v>1579.5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4002</v>
      </c>
      <c r="C24" s="12">
        <v>0.75</v>
      </c>
      <c r="D24" s="4"/>
      <c r="E24" s="8">
        <f t="shared" si="0"/>
        <v>3001.5</v>
      </c>
    </row>
    <row r="25" spans="1:5" ht="15.5" x14ac:dyDescent="0.35">
      <c r="A25" s="3" t="s">
        <v>20</v>
      </c>
      <c r="B25" s="4">
        <v>4050</v>
      </c>
      <c r="C25" s="12">
        <v>1.75</v>
      </c>
      <c r="D25" s="4"/>
      <c r="E25" s="8">
        <f t="shared" si="0"/>
        <v>7087.5</v>
      </c>
    </row>
    <row r="26" spans="1:5" ht="15.5" x14ac:dyDescent="0.35">
      <c r="A26" s="3" t="s">
        <v>21</v>
      </c>
      <c r="B26" s="4">
        <v>0</v>
      </c>
      <c r="C26" s="12">
        <v>0.5</v>
      </c>
      <c r="D26" s="4"/>
      <c r="E26" s="8">
        <f t="shared" si="0"/>
        <v>0</v>
      </c>
    </row>
    <row r="27" spans="1:5" ht="15.5" x14ac:dyDescent="0.35">
      <c r="A27" s="3" t="s">
        <v>22</v>
      </c>
      <c r="B27" s="4"/>
      <c r="C27" s="12">
        <v>0</v>
      </c>
      <c r="D27" s="4"/>
      <c r="E27" s="8">
        <f t="shared" si="0"/>
        <v>0</v>
      </c>
    </row>
    <row r="28" spans="1:5" ht="15.5" x14ac:dyDescent="0.35">
      <c r="A28" s="3" t="s">
        <v>23</v>
      </c>
      <c r="B28" s="4">
        <v>4002</v>
      </c>
      <c r="C28" s="12">
        <v>1.92</v>
      </c>
      <c r="D28" s="4"/>
      <c r="E28" s="8">
        <f t="shared" si="0"/>
        <v>7683.84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80</v>
      </c>
      <c r="C30" s="5">
        <v>67</v>
      </c>
      <c r="D30" s="4"/>
      <c r="E30" s="8">
        <f t="shared" si="0"/>
        <v>5360</v>
      </c>
    </row>
    <row r="31" spans="1:5" x14ac:dyDescent="0.35">
      <c r="A31" s="3" t="s">
        <v>26</v>
      </c>
      <c r="B31" s="4">
        <v>0</v>
      </c>
      <c r="C31" s="5">
        <v>6.75</v>
      </c>
      <c r="D31" s="4"/>
      <c r="E31" s="8">
        <f t="shared" si="0"/>
        <v>0</v>
      </c>
    </row>
    <row r="32" spans="1:5" x14ac:dyDescent="0.35">
      <c r="A32" s="3" t="s">
        <v>27</v>
      </c>
      <c r="B32" s="4">
        <v>80</v>
      </c>
      <c r="C32" s="5">
        <v>0.6</v>
      </c>
      <c r="D32" s="4"/>
      <c r="E32" s="8">
        <f>C32*B32</f>
        <v>48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26634.34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693203.84000000008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173.21435282358823</v>
      </c>
    </row>
    <row r="39" spans="1:5" x14ac:dyDescent="0.35">
      <c r="A39" s="14" t="s">
        <v>34</v>
      </c>
      <c r="B39" s="15"/>
      <c r="C39" s="16"/>
      <c r="D39" s="17"/>
      <c r="E39" s="18">
        <f>D3-E37</f>
        <v>107196.15999999992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13.392823588205886</v>
      </c>
      <c r="E41" s="28">
        <f>C3-E38</f>
        <v>26.785647176411771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938</v>
      </c>
      <c r="C44" s="35">
        <v>75.05</v>
      </c>
      <c r="D44" s="36"/>
      <c r="E44" s="8">
        <f>B44*C44</f>
        <v>70396.899999999994</v>
      </c>
    </row>
    <row r="45" spans="1:5" x14ac:dyDescent="0.35">
      <c r="A45" s="3" t="s">
        <v>39</v>
      </c>
      <c r="B45" s="37">
        <v>0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20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70396.899999999994</v>
      </c>
    </row>
    <row r="50" spans="1:5" ht="15" thickBot="1" x14ac:dyDescent="0.4">
      <c r="A50" s="39" t="s">
        <v>43</v>
      </c>
      <c r="B50" s="40"/>
      <c r="C50" s="40"/>
      <c r="D50" s="41">
        <f>E49/E37%</f>
        <v>10.15529573523424</v>
      </c>
      <c r="E50" s="42"/>
    </row>
    <row r="51" spans="1:5" ht="15" thickBot="1" x14ac:dyDescent="0.4">
      <c r="C51" s="59" t="s">
        <v>116</v>
      </c>
      <c r="D51" s="58">
        <f>D41+D50</f>
        <v>23.548119323440126</v>
      </c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22E6-1039-422D-8FA5-676C3005090E}">
  <dimension ref="A1:G54"/>
  <sheetViews>
    <sheetView workbookViewId="0">
      <selection activeCell="A4" sqref="A4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8448</v>
      </c>
      <c r="C2" s="5">
        <v>230</v>
      </c>
      <c r="D2" s="5">
        <f>C2*B2</f>
        <v>1943040</v>
      </c>
      <c r="E2" s="4"/>
      <c r="G2" t="s">
        <v>104</v>
      </c>
    </row>
    <row r="3" spans="1:7" x14ac:dyDescent="0.35">
      <c r="A3" s="52" t="s">
        <v>5</v>
      </c>
      <c r="B3" s="4">
        <v>8422</v>
      </c>
      <c r="C3" s="5">
        <v>230</v>
      </c>
      <c r="D3" s="5">
        <f>C3*B3</f>
        <v>1937060</v>
      </c>
      <c r="E3" s="4"/>
      <c r="G3" t="s">
        <v>105</v>
      </c>
    </row>
    <row r="4" spans="1:7" x14ac:dyDescent="0.35">
      <c r="A4" s="52"/>
      <c r="B4" s="5"/>
      <c r="C4" s="5"/>
      <c r="D4" s="5"/>
      <c r="E4" s="4"/>
      <c r="G4" t="s">
        <v>106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1.27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13056</v>
      </c>
      <c r="C9" s="5">
        <v>75.56</v>
      </c>
      <c r="D9" s="4"/>
      <c r="E9" s="5">
        <f>C9*B9</f>
        <v>986511.35999999999</v>
      </c>
    </row>
    <row r="10" spans="1:7" x14ac:dyDescent="0.35">
      <c r="A10" s="52" t="s">
        <v>150</v>
      </c>
      <c r="B10" s="5">
        <v>600</v>
      </c>
      <c r="C10" s="5">
        <v>75.05</v>
      </c>
      <c r="D10" s="4"/>
      <c r="E10" s="5">
        <f>C10*B10</f>
        <v>45030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1031541.36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8418</v>
      </c>
      <c r="C16" s="5">
        <v>60</v>
      </c>
      <c r="D16" s="4"/>
      <c r="E16" s="38">
        <f>C16*B16</f>
        <v>505080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8460</v>
      </c>
      <c r="C19" s="12">
        <v>0.55000000000000004</v>
      </c>
      <c r="D19" s="4"/>
      <c r="E19" s="5">
        <f t="shared" ref="E19:E34" si="0">C19*B19</f>
        <v>4653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8500</v>
      </c>
      <c r="C21" s="12">
        <v>0.39</v>
      </c>
      <c r="D21" s="4"/>
      <c r="E21" s="5">
        <f t="shared" si="0"/>
        <v>3315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>
        <v>10</v>
      </c>
      <c r="C23" s="12">
        <v>1</v>
      </c>
      <c r="D23" s="4"/>
      <c r="E23" s="5">
        <f t="shared" si="0"/>
        <v>10</v>
      </c>
    </row>
    <row r="24" spans="1:5" ht="15.5" x14ac:dyDescent="0.35">
      <c r="A24" s="52" t="s">
        <v>19</v>
      </c>
      <c r="B24" s="4">
        <v>8448</v>
      </c>
      <c r="C24" s="12">
        <v>0.75</v>
      </c>
      <c r="D24" s="4"/>
      <c r="E24" s="5">
        <f t="shared" si="0"/>
        <v>6336</v>
      </c>
    </row>
    <row r="25" spans="1:5" ht="15.5" x14ac:dyDescent="0.35">
      <c r="A25" s="52" t="s">
        <v>20</v>
      </c>
      <c r="B25" s="4">
        <v>8500</v>
      </c>
      <c r="C25" s="12">
        <v>1.75</v>
      </c>
      <c r="D25" s="4"/>
      <c r="E25" s="5">
        <f t="shared" si="0"/>
        <v>14875</v>
      </c>
    </row>
    <row r="26" spans="1:5" ht="15.5" x14ac:dyDescent="0.35">
      <c r="A26" s="52" t="s">
        <v>21</v>
      </c>
      <c r="B26" s="4">
        <v>1180</v>
      </c>
      <c r="C26" s="12">
        <v>0.5</v>
      </c>
      <c r="D26" s="4"/>
      <c r="E26" s="5">
        <f t="shared" si="0"/>
        <v>590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8448</v>
      </c>
      <c r="C28" s="12">
        <v>2.4</v>
      </c>
      <c r="D28" s="4"/>
      <c r="E28" s="5">
        <f t="shared" si="0"/>
        <v>20275.2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170</v>
      </c>
      <c r="C30" s="5">
        <v>67</v>
      </c>
      <c r="D30" s="4"/>
      <c r="E30" s="5">
        <f t="shared" si="0"/>
        <v>11390</v>
      </c>
    </row>
    <row r="31" spans="1:5" x14ac:dyDescent="0.35">
      <c r="A31" s="52" t="s">
        <v>26</v>
      </c>
      <c r="B31" s="4">
        <v>1177</v>
      </c>
      <c r="C31" s="5">
        <v>5.0999999999999996</v>
      </c>
      <c r="D31" s="4"/>
      <c r="E31" s="5">
        <f t="shared" si="0"/>
        <v>6002.7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67451.5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1604072.8599999999</v>
      </c>
    </row>
    <row r="38" spans="1:5" x14ac:dyDescent="0.35">
      <c r="A38" s="53" t="s">
        <v>33</v>
      </c>
      <c r="B38" s="4"/>
      <c r="C38" s="4"/>
      <c r="D38" s="4"/>
      <c r="E38" s="38">
        <f>E37/B3</f>
        <v>190.46222512467347</v>
      </c>
    </row>
    <row r="39" spans="1:5" x14ac:dyDescent="0.35">
      <c r="A39" s="55" t="s">
        <v>34</v>
      </c>
      <c r="B39" s="15"/>
      <c r="C39" s="20"/>
      <c r="D39" s="56"/>
      <c r="E39" s="56">
        <f>D3-E37</f>
        <v>332987.14000000013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17.190336902315885</v>
      </c>
      <c r="E41" s="56">
        <f>C3-E38</f>
        <v>39.537774875326534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655.8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/>
      <c r="C46" s="37"/>
      <c r="D46" s="4">
        <v>0</v>
      </c>
      <c r="E46" s="5">
        <f>B46*D46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E99C-89BA-4FFA-9D71-A50D20AB791C}">
  <dimension ref="A1:G54"/>
  <sheetViews>
    <sheetView workbookViewId="0">
      <selection activeCell="H8" sqref="H8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8448</v>
      </c>
      <c r="C2" s="5">
        <v>230</v>
      </c>
      <c r="D2" s="5">
        <f>C2*B2</f>
        <v>1943040</v>
      </c>
      <c r="E2" s="4"/>
      <c r="G2" t="s">
        <v>104</v>
      </c>
    </row>
    <row r="3" spans="1:7" x14ac:dyDescent="0.35">
      <c r="A3" s="52" t="s">
        <v>5</v>
      </c>
      <c r="B3" s="4">
        <v>8426</v>
      </c>
      <c r="C3" s="5">
        <v>230</v>
      </c>
      <c r="D3" s="5">
        <f>C3*B3</f>
        <v>1937980</v>
      </c>
      <c r="E3" s="4"/>
      <c r="G3" t="s">
        <v>105</v>
      </c>
    </row>
    <row r="4" spans="1:7" x14ac:dyDescent="0.35">
      <c r="A4" s="52"/>
      <c r="B4" s="5"/>
      <c r="C4" s="5"/>
      <c r="D4" s="5"/>
      <c r="E4" s="4"/>
      <c r="G4" t="s">
        <v>106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1.27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13056</v>
      </c>
      <c r="C9" s="5">
        <v>75.56</v>
      </c>
      <c r="D9" s="4"/>
      <c r="E9" s="5">
        <f>C9*B9</f>
        <v>986511.35999999999</v>
      </c>
    </row>
    <row r="10" spans="1:7" x14ac:dyDescent="0.35">
      <c r="A10" s="52" t="s">
        <v>150</v>
      </c>
      <c r="B10" s="5">
        <v>600</v>
      </c>
      <c r="C10" s="5">
        <v>75.05</v>
      </c>
      <c r="D10" s="4"/>
      <c r="E10" s="5">
        <f>C10*B10</f>
        <v>45030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1031541.36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8426</v>
      </c>
      <c r="C16" s="5">
        <v>60</v>
      </c>
      <c r="D16" s="4"/>
      <c r="E16" s="38">
        <f>C16*B16</f>
        <v>505560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8460</v>
      </c>
      <c r="C19" s="12">
        <v>0.55000000000000004</v>
      </c>
      <c r="D19" s="4"/>
      <c r="E19" s="5">
        <f t="shared" ref="E19:E34" si="0">C19*B19</f>
        <v>4653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8500</v>
      </c>
      <c r="C21" s="12">
        <v>0.39</v>
      </c>
      <c r="D21" s="4"/>
      <c r="E21" s="5">
        <f t="shared" si="0"/>
        <v>3315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>
        <v>10</v>
      </c>
      <c r="C23" s="12">
        <v>1</v>
      </c>
      <c r="D23" s="4"/>
      <c r="E23" s="5">
        <f t="shared" si="0"/>
        <v>10</v>
      </c>
    </row>
    <row r="24" spans="1:5" ht="15.5" x14ac:dyDescent="0.35">
      <c r="A24" s="52" t="s">
        <v>19</v>
      </c>
      <c r="B24" s="4">
        <v>8448</v>
      </c>
      <c r="C24" s="12">
        <v>0.75</v>
      </c>
      <c r="D24" s="4"/>
      <c r="E24" s="5">
        <f t="shared" si="0"/>
        <v>6336</v>
      </c>
    </row>
    <row r="25" spans="1:5" ht="15.5" x14ac:dyDescent="0.35">
      <c r="A25" s="52" t="s">
        <v>20</v>
      </c>
      <c r="B25" s="4">
        <v>8500</v>
      </c>
      <c r="C25" s="12">
        <v>1.75</v>
      </c>
      <c r="D25" s="4"/>
      <c r="E25" s="5">
        <f t="shared" si="0"/>
        <v>14875</v>
      </c>
    </row>
    <row r="26" spans="1:5" ht="15.5" x14ac:dyDescent="0.35">
      <c r="A26" s="52" t="s">
        <v>21</v>
      </c>
      <c r="B26" s="4">
        <v>1180</v>
      </c>
      <c r="C26" s="12">
        <v>0.5</v>
      </c>
      <c r="D26" s="4"/>
      <c r="E26" s="5">
        <f t="shared" si="0"/>
        <v>590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8448</v>
      </c>
      <c r="C28" s="12">
        <v>2.4</v>
      </c>
      <c r="D28" s="4"/>
      <c r="E28" s="5">
        <f t="shared" si="0"/>
        <v>20275.2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170</v>
      </c>
      <c r="C30" s="5">
        <v>67</v>
      </c>
      <c r="D30" s="4"/>
      <c r="E30" s="5">
        <f t="shared" si="0"/>
        <v>11390</v>
      </c>
    </row>
    <row r="31" spans="1:5" x14ac:dyDescent="0.35">
      <c r="A31" s="52" t="s">
        <v>26</v>
      </c>
      <c r="B31" s="4">
        <v>1177</v>
      </c>
      <c r="C31" s="5">
        <v>5.0999999999999996</v>
      </c>
      <c r="D31" s="4"/>
      <c r="E31" s="5">
        <f t="shared" si="0"/>
        <v>6002.7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67451.5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1604552.8599999999</v>
      </c>
    </row>
    <row r="38" spans="1:5" x14ac:dyDescent="0.35">
      <c r="A38" s="53" t="s">
        <v>33</v>
      </c>
      <c r="B38" s="4"/>
      <c r="C38" s="4"/>
      <c r="D38" s="4"/>
      <c r="E38" s="38">
        <f>E37/B3</f>
        <v>190.4287752195585</v>
      </c>
    </row>
    <row r="39" spans="1:5" x14ac:dyDescent="0.35">
      <c r="A39" s="55" t="s">
        <v>34</v>
      </c>
      <c r="B39" s="15"/>
      <c r="C39" s="20"/>
      <c r="D39" s="56"/>
      <c r="E39" s="56">
        <f>D3-E37</f>
        <v>333427.14000000013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17.20488033932239</v>
      </c>
      <c r="E41" s="56">
        <f>C3-E38</f>
        <v>39.571224780441497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655.8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/>
      <c r="C46" s="37"/>
      <c r="D46" s="4">
        <v>0</v>
      </c>
      <c r="E46" s="5">
        <f>B46*D46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4EAE-4485-4998-8BB9-2EA308636EBB}">
  <dimension ref="A1:G54"/>
  <sheetViews>
    <sheetView workbookViewId="0">
      <selection activeCell="C4" sqref="C4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103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7000</v>
      </c>
      <c r="C2" s="5">
        <v>240</v>
      </c>
      <c r="D2" s="5">
        <f>C2*B2</f>
        <v>1680000</v>
      </c>
      <c r="E2" s="4"/>
      <c r="G2" t="s">
        <v>104</v>
      </c>
    </row>
    <row r="3" spans="1:7" x14ac:dyDescent="0.35">
      <c r="A3" s="52" t="s">
        <v>5</v>
      </c>
      <c r="B3" s="4">
        <v>7057</v>
      </c>
      <c r="C3" s="5">
        <v>240</v>
      </c>
      <c r="D3" s="5">
        <f>C3*B3</f>
        <v>1693680</v>
      </c>
      <c r="E3" s="4"/>
      <c r="G3" t="s">
        <v>105</v>
      </c>
    </row>
    <row r="4" spans="1:7" x14ac:dyDescent="0.35">
      <c r="A4" s="52"/>
      <c r="B4" s="5"/>
      <c r="C4" s="5"/>
      <c r="D4" s="5"/>
      <c r="E4" s="4"/>
      <c r="G4" t="s">
        <v>106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11389</v>
      </c>
      <c r="C9" s="5">
        <v>77</v>
      </c>
      <c r="D9" s="4"/>
      <c r="E9" s="5">
        <f>C9*B9</f>
        <v>876953</v>
      </c>
    </row>
    <row r="10" spans="1:7" x14ac:dyDescent="0.35">
      <c r="A10" s="52" t="s">
        <v>108</v>
      </c>
      <c r="B10" s="5">
        <v>7050</v>
      </c>
      <c r="C10" s="5">
        <v>8.4</v>
      </c>
      <c r="D10" s="4"/>
      <c r="E10" s="5">
        <f>C10*B10</f>
        <v>59220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936173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7057</v>
      </c>
      <c r="C16" s="5">
        <v>71.16</v>
      </c>
      <c r="D16" s="4"/>
      <c r="E16" s="38">
        <f>C16*B16</f>
        <v>502176.12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7057</v>
      </c>
      <c r="C19" s="12">
        <v>0.55000000000000004</v>
      </c>
      <c r="D19" s="4"/>
      <c r="E19" s="5">
        <f t="shared" ref="E19:E34" si="0">C19*B19</f>
        <v>3881.3500000000004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7140</v>
      </c>
      <c r="C21" s="12">
        <v>0.39</v>
      </c>
      <c r="D21" s="4"/>
      <c r="E21" s="5">
        <f t="shared" si="0"/>
        <v>2784.6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7057</v>
      </c>
      <c r="C24" s="12">
        <v>0.75</v>
      </c>
      <c r="D24" s="4"/>
      <c r="E24" s="5">
        <f t="shared" si="0"/>
        <v>5292.75</v>
      </c>
    </row>
    <row r="25" spans="1:5" ht="15.5" x14ac:dyDescent="0.35">
      <c r="A25" s="52" t="s">
        <v>20</v>
      </c>
      <c r="B25" s="4">
        <v>7140</v>
      </c>
      <c r="C25" s="12">
        <v>1.75</v>
      </c>
      <c r="D25" s="4"/>
      <c r="E25" s="5">
        <f t="shared" si="0"/>
        <v>12495</v>
      </c>
    </row>
    <row r="26" spans="1:5" ht="15.5" x14ac:dyDescent="0.35">
      <c r="A26" s="52" t="s">
        <v>21</v>
      </c>
      <c r="B26" s="4">
        <v>990</v>
      </c>
      <c r="C26" s="12">
        <v>0.5</v>
      </c>
      <c r="D26" s="4"/>
      <c r="E26" s="5">
        <f t="shared" si="0"/>
        <v>495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7057</v>
      </c>
      <c r="C28" s="12">
        <v>2.1</v>
      </c>
      <c r="D28" s="4"/>
      <c r="E28" s="5">
        <f t="shared" si="0"/>
        <v>14819.7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104</v>
      </c>
      <c r="C30" s="5">
        <v>67</v>
      </c>
      <c r="D30" s="4"/>
      <c r="E30" s="5">
        <f t="shared" si="0"/>
        <v>6968</v>
      </c>
    </row>
    <row r="31" spans="1:5" x14ac:dyDescent="0.35">
      <c r="A31" s="52" t="s">
        <v>26</v>
      </c>
      <c r="B31" s="4">
        <v>980</v>
      </c>
      <c r="C31" s="5">
        <v>5.0999999999999996</v>
      </c>
      <c r="D31" s="4"/>
      <c r="E31" s="5">
        <f t="shared" si="0"/>
        <v>4998</v>
      </c>
    </row>
    <row r="32" spans="1:5" x14ac:dyDescent="0.35">
      <c r="A32" s="52" t="s">
        <v>27</v>
      </c>
      <c r="B32" s="4">
        <v>104</v>
      </c>
      <c r="C32" s="5">
        <v>0.6</v>
      </c>
      <c r="D32" s="4"/>
      <c r="E32" s="5">
        <f>C32*B32</f>
        <v>62.4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51800.800000000003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1490149.92</v>
      </c>
    </row>
    <row r="38" spans="1:5" x14ac:dyDescent="0.35">
      <c r="A38" s="53" t="s">
        <v>33</v>
      </c>
      <c r="B38" s="4"/>
      <c r="C38" s="4"/>
      <c r="D38" s="4"/>
      <c r="E38" s="38">
        <f>E37/B3</f>
        <v>211.15912143970525</v>
      </c>
    </row>
    <row r="39" spans="1:5" x14ac:dyDescent="0.35">
      <c r="A39" s="55" t="s">
        <v>34</v>
      </c>
      <c r="B39" s="15"/>
      <c r="C39" s="20"/>
      <c r="D39" s="56"/>
      <c r="E39" s="56">
        <f>D3-E37</f>
        <v>203530.08000000007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12.017032733456148</v>
      </c>
      <c r="E41" s="56">
        <f>C3-E38</f>
        <v>28.840878560294755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157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77</v>
      </c>
      <c r="C46" s="37"/>
      <c r="D46" s="4">
        <v>80</v>
      </c>
      <c r="E46" s="5">
        <f>B46*D46</f>
        <v>6160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6160</v>
      </c>
    </row>
    <row r="50" spans="1:5" x14ac:dyDescent="0.35">
      <c r="A50" s="52" t="s">
        <v>43</v>
      </c>
      <c r="B50" s="4"/>
      <c r="C50" s="4"/>
      <c r="D50" s="38">
        <f>E49/E37%</f>
        <v>0.41338122542730471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B942-5713-4BA8-9734-0D898495EA3E}">
  <dimension ref="A1:G54"/>
  <sheetViews>
    <sheetView topLeftCell="A3" workbookViewId="0">
      <selection activeCell="C9" sqref="C9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109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8048</v>
      </c>
      <c r="C2" s="5">
        <v>240</v>
      </c>
      <c r="D2" s="5">
        <f>C2*B2</f>
        <v>1931520</v>
      </c>
      <c r="E2" s="4"/>
      <c r="G2" t="s">
        <v>110</v>
      </c>
    </row>
    <row r="3" spans="1:7" x14ac:dyDescent="0.35">
      <c r="A3" s="52" t="s">
        <v>5</v>
      </c>
      <c r="B3" s="4">
        <v>7888</v>
      </c>
      <c r="C3" s="5">
        <v>240</v>
      </c>
      <c r="D3" s="5">
        <f>C3*B3</f>
        <v>1893120</v>
      </c>
      <c r="E3" s="4"/>
      <c r="G3" t="s">
        <v>111</v>
      </c>
    </row>
    <row r="4" spans="1:7" x14ac:dyDescent="0.35">
      <c r="A4" s="52"/>
      <c r="B4" s="5"/>
      <c r="C4" s="5"/>
      <c r="D4" s="5"/>
      <c r="E4" s="4"/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12894</v>
      </c>
      <c r="C9" s="5">
        <v>76</v>
      </c>
      <c r="D9" s="4"/>
      <c r="E9" s="5">
        <f>C9*B9</f>
        <v>979944</v>
      </c>
    </row>
    <row r="10" spans="1:7" x14ac:dyDescent="0.35">
      <c r="A10" s="52" t="s">
        <v>108</v>
      </c>
      <c r="B10" s="5">
        <v>8060</v>
      </c>
      <c r="C10" s="5">
        <v>8.4</v>
      </c>
      <c r="D10" s="4"/>
      <c r="E10" s="5">
        <f>C10*B10</f>
        <v>67704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1047648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7888</v>
      </c>
      <c r="C16" s="5">
        <v>71.16</v>
      </c>
      <c r="D16" s="4"/>
      <c r="E16" s="38">
        <f>C16*B16</f>
        <v>561310.07999999996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7888</v>
      </c>
      <c r="C19" s="12">
        <v>0.55000000000000004</v>
      </c>
      <c r="D19" s="4"/>
      <c r="E19" s="5">
        <f t="shared" ref="E19:E34" si="0">C19*B19</f>
        <v>4338.4000000000005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8140</v>
      </c>
      <c r="C21" s="12">
        <v>0.39</v>
      </c>
      <c r="D21" s="4"/>
      <c r="E21" s="5">
        <f t="shared" si="0"/>
        <v>3174.6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7888</v>
      </c>
      <c r="C24" s="12">
        <v>0.75</v>
      </c>
      <c r="D24" s="4"/>
      <c r="E24" s="5">
        <f t="shared" si="0"/>
        <v>5916</v>
      </c>
    </row>
    <row r="25" spans="1:5" ht="15.5" x14ac:dyDescent="0.35">
      <c r="A25" s="52" t="s">
        <v>20</v>
      </c>
      <c r="B25" s="4">
        <v>8140</v>
      </c>
      <c r="C25" s="12">
        <v>1.75</v>
      </c>
      <c r="D25" s="4"/>
      <c r="E25" s="5">
        <f t="shared" si="0"/>
        <v>14245</v>
      </c>
    </row>
    <row r="26" spans="1:5" ht="15.5" x14ac:dyDescent="0.35">
      <c r="A26" s="52" t="s">
        <v>21</v>
      </c>
      <c r="B26" s="4">
        <v>1119</v>
      </c>
      <c r="C26" s="12">
        <v>0.5</v>
      </c>
      <c r="D26" s="4"/>
      <c r="E26" s="5">
        <f t="shared" si="0"/>
        <v>559.5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7057</v>
      </c>
      <c r="C28" s="12">
        <v>2.1</v>
      </c>
      <c r="D28" s="4"/>
      <c r="E28" s="5">
        <f t="shared" si="0"/>
        <v>14819.7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104</v>
      </c>
      <c r="C30" s="5">
        <v>67</v>
      </c>
      <c r="D30" s="4"/>
      <c r="E30" s="5">
        <f t="shared" si="0"/>
        <v>6968</v>
      </c>
    </row>
    <row r="31" spans="1:5" x14ac:dyDescent="0.35">
      <c r="A31" s="52" t="s">
        <v>26</v>
      </c>
      <c r="B31" s="4">
        <v>1119</v>
      </c>
      <c r="C31" s="5">
        <v>5.0999999999999996</v>
      </c>
      <c r="D31" s="4"/>
      <c r="E31" s="5">
        <f t="shared" si="0"/>
        <v>5706.9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55732.7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1664690.7799999998</v>
      </c>
    </row>
    <row r="38" spans="1:5" x14ac:dyDescent="0.35">
      <c r="A38" s="53" t="s">
        <v>33</v>
      </c>
      <c r="B38" s="4"/>
      <c r="C38" s="4"/>
      <c r="D38" s="4"/>
      <c r="E38" s="38">
        <f>E37/B3</f>
        <v>211.04092038539551</v>
      </c>
    </row>
    <row r="39" spans="1:5" x14ac:dyDescent="0.35">
      <c r="A39" s="55" t="s">
        <v>34</v>
      </c>
      <c r="B39" s="15"/>
      <c r="C39" s="20"/>
      <c r="D39" s="56"/>
      <c r="E39" s="56">
        <f>D3-E37</f>
        <v>228429.2200000002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12.06628317275187</v>
      </c>
      <c r="E41" s="56">
        <f>C3-E38</f>
        <v>28.959079614604491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23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47</v>
      </c>
      <c r="C46" s="37"/>
      <c r="D46" s="4"/>
      <c r="E46" s="5">
        <f>C46*B46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8A1A-4630-4359-B08F-57799D3FDA42}">
  <dimension ref="A1:G54"/>
  <sheetViews>
    <sheetView topLeftCell="A28" workbookViewId="0">
      <selection activeCell="A43" sqref="A43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117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9000</v>
      </c>
      <c r="C2" s="5">
        <v>240</v>
      </c>
      <c r="D2" s="5">
        <f>C2*B2</f>
        <v>2160000</v>
      </c>
      <c r="E2" s="4"/>
      <c r="G2" t="s">
        <v>118</v>
      </c>
    </row>
    <row r="3" spans="1:7" x14ac:dyDescent="0.35">
      <c r="A3" s="52" t="s">
        <v>5</v>
      </c>
      <c r="B3" s="4">
        <v>8788</v>
      </c>
      <c r="C3" s="5">
        <v>240</v>
      </c>
      <c r="D3" s="5">
        <f>C3*B3</f>
        <v>2109120</v>
      </c>
      <c r="E3" s="4"/>
      <c r="G3" t="s">
        <v>111</v>
      </c>
    </row>
    <row r="4" spans="1:7" x14ac:dyDescent="0.35">
      <c r="A4" s="52"/>
      <c r="B4" s="5"/>
      <c r="C4" s="5"/>
      <c r="D4" s="5"/>
      <c r="E4" s="4"/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13046</v>
      </c>
      <c r="C9" s="5">
        <v>77</v>
      </c>
      <c r="D9" s="4"/>
      <c r="E9" s="5">
        <f>C9*B9</f>
        <v>1004542</v>
      </c>
    </row>
    <row r="10" spans="1:7" x14ac:dyDescent="0.35">
      <c r="A10" s="52" t="s">
        <v>108</v>
      </c>
      <c r="B10" s="5">
        <v>9000</v>
      </c>
      <c r="C10" s="5">
        <v>8.4</v>
      </c>
      <c r="D10" s="4"/>
      <c r="E10" s="5">
        <f>C10*B10</f>
        <v>75600</v>
      </c>
    </row>
    <row r="11" spans="1:7" x14ac:dyDescent="0.35">
      <c r="A11" s="52"/>
      <c r="B11" s="5">
        <v>0</v>
      </c>
      <c r="C11" s="5">
        <v>3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1080142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8788</v>
      </c>
      <c r="C16" s="5">
        <v>67.16</v>
      </c>
      <c r="D16" s="4"/>
      <c r="E16" s="38">
        <f>C16*B16</f>
        <v>590202.07999999996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9053</v>
      </c>
      <c r="C19" s="12">
        <v>0.55000000000000004</v>
      </c>
      <c r="D19" s="4"/>
      <c r="E19" s="5">
        <f t="shared" ref="E19:E34" si="0">C19*B19</f>
        <v>4979.1500000000005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9050</v>
      </c>
      <c r="C21" s="12">
        <v>0.39</v>
      </c>
      <c r="D21" s="4"/>
      <c r="E21" s="5">
        <f t="shared" si="0"/>
        <v>3529.5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8788</v>
      </c>
      <c r="C24" s="12">
        <v>0.75</v>
      </c>
      <c r="D24" s="4"/>
      <c r="E24" s="5">
        <f t="shared" si="0"/>
        <v>6591</v>
      </c>
    </row>
    <row r="25" spans="1:5" ht="15.5" x14ac:dyDescent="0.35">
      <c r="A25" s="52" t="s">
        <v>20</v>
      </c>
      <c r="B25" s="4">
        <v>9050</v>
      </c>
      <c r="C25" s="12">
        <v>1.75</v>
      </c>
      <c r="D25" s="4"/>
      <c r="E25" s="5">
        <f t="shared" si="0"/>
        <v>15837.5</v>
      </c>
    </row>
    <row r="26" spans="1:5" ht="15.5" x14ac:dyDescent="0.35">
      <c r="A26" s="52" t="s">
        <v>21</v>
      </c>
      <c r="B26" s="4">
        <v>1200</v>
      </c>
      <c r="C26" s="12">
        <v>0.5</v>
      </c>
      <c r="D26" s="4"/>
      <c r="E26" s="5">
        <f t="shared" si="0"/>
        <v>600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8788</v>
      </c>
      <c r="C28" s="12">
        <v>2.1</v>
      </c>
      <c r="D28" s="4"/>
      <c r="E28" s="5">
        <f t="shared" si="0"/>
        <v>18454.8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176</v>
      </c>
      <c r="C30" s="5">
        <v>67</v>
      </c>
      <c r="D30" s="4"/>
      <c r="E30" s="5">
        <f t="shared" si="0"/>
        <v>11792</v>
      </c>
    </row>
    <row r="31" spans="1:5" x14ac:dyDescent="0.35">
      <c r="A31" s="52" t="s">
        <v>26</v>
      </c>
      <c r="B31" s="4">
        <v>1200</v>
      </c>
      <c r="C31" s="5">
        <v>5.0999999999999996</v>
      </c>
      <c r="D31" s="4"/>
      <c r="E31" s="5">
        <f t="shared" si="0"/>
        <v>6120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67908.55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1738252.63</v>
      </c>
    </row>
    <row r="38" spans="1:5" x14ac:dyDescent="0.35">
      <c r="A38" s="53" t="s">
        <v>33</v>
      </c>
      <c r="B38" s="4"/>
      <c r="C38" s="4"/>
      <c r="D38" s="4"/>
      <c r="E38" s="38">
        <f>E37/B3</f>
        <v>197.79843309057804</v>
      </c>
    </row>
    <row r="39" spans="1:5" x14ac:dyDescent="0.35">
      <c r="A39" s="55" t="s">
        <v>34</v>
      </c>
      <c r="B39" s="15"/>
      <c r="C39" s="20"/>
      <c r="D39" s="56"/>
      <c r="E39" s="56">
        <f>D3-E37</f>
        <v>370867.37000000011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17.583986212259148</v>
      </c>
      <c r="E41" s="56">
        <f>C3-E38</f>
        <v>42.201566909421956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23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47</v>
      </c>
      <c r="C46" s="37"/>
      <c r="D46" s="4"/>
      <c r="E46" s="5">
        <f>C46*B46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1575-26EE-4530-ADA1-EEF817DA9A21}">
  <dimension ref="A1:G54"/>
  <sheetViews>
    <sheetView tabSelected="1" topLeftCell="A35" workbookViewId="0">
      <selection activeCell="E41" sqref="E4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8048</v>
      </c>
      <c r="C2" s="5">
        <v>240</v>
      </c>
      <c r="D2" s="5">
        <f>C2*B2</f>
        <v>1931520</v>
      </c>
      <c r="E2" s="4"/>
      <c r="G2" t="s">
        <v>155</v>
      </c>
    </row>
    <row r="3" spans="1:7" x14ac:dyDescent="0.35">
      <c r="A3" s="52" t="s">
        <v>5</v>
      </c>
      <c r="B3" s="4">
        <v>8035</v>
      </c>
      <c r="C3" s="5">
        <v>240</v>
      </c>
      <c r="D3" s="5">
        <f>C3*B3</f>
        <v>1928400</v>
      </c>
      <c r="E3" s="4"/>
      <c r="G3" t="s">
        <v>154</v>
      </c>
    </row>
    <row r="4" spans="1:7" x14ac:dyDescent="0.35">
      <c r="A4" s="52"/>
      <c r="B4" s="5"/>
      <c r="C4" s="5"/>
      <c r="D4" s="5"/>
      <c r="E4" s="4"/>
      <c r="G4" t="s">
        <v>156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13700</v>
      </c>
      <c r="C9" s="5">
        <v>77</v>
      </c>
      <c r="D9" s="4"/>
      <c r="E9" s="5">
        <f>C9*B9</f>
        <v>1054900</v>
      </c>
    </row>
    <row r="10" spans="1:7" x14ac:dyDescent="0.35">
      <c r="A10" s="52" t="s">
        <v>108</v>
      </c>
      <c r="B10" s="5">
        <v>8050</v>
      </c>
      <c r="C10" s="5">
        <v>8.4</v>
      </c>
      <c r="D10" s="4"/>
      <c r="E10" s="5">
        <f>C10*B10</f>
        <v>67620</v>
      </c>
    </row>
    <row r="11" spans="1:7" x14ac:dyDescent="0.35">
      <c r="A11" s="52"/>
      <c r="B11" s="5">
        <v>0</v>
      </c>
      <c r="C11" s="5">
        <v>0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1122520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8035</v>
      </c>
      <c r="C16" s="5">
        <v>71.16</v>
      </c>
      <c r="D16" s="4"/>
      <c r="E16" s="38">
        <f>C16*B16</f>
        <v>571770.6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8133</v>
      </c>
      <c r="C19" s="12">
        <v>0.55000000000000004</v>
      </c>
      <c r="D19" s="4"/>
      <c r="E19" s="5">
        <f t="shared" ref="E19:E34" si="0">C19*B19</f>
        <v>4473.1500000000005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8080</v>
      </c>
      <c r="C21" s="12">
        <v>0.39</v>
      </c>
      <c r="D21" s="4"/>
      <c r="E21" s="5">
        <f t="shared" si="0"/>
        <v>3151.2000000000003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8788</v>
      </c>
      <c r="C24" s="12">
        <v>0.75</v>
      </c>
      <c r="D24" s="4"/>
      <c r="E24" s="5">
        <f t="shared" si="0"/>
        <v>6591</v>
      </c>
    </row>
    <row r="25" spans="1:5" ht="15.5" x14ac:dyDescent="0.35">
      <c r="A25" s="52" t="s">
        <v>20</v>
      </c>
      <c r="B25" s="4">
        <v>8080</v>
      </c>
      <c r="C25" s="12">
        <v>1.75</v>
      </c>
      <c r="D25" s="4"/>
      <c r="E25" s="5">
        <f t="shared" si="0"/>
        <v>14140</v>
      </c>
    </row>
    <row r="26" spans="1:5" ht="15.5" x14ac:dyDescent="0.35">
      <c r="A26" s="52" t="s">
        <v>21</v>
      </c>
      <c r="B26" s="4">
        <v>900</v>
      </c>
      <c r="C26" s="12">
        <v>0.5</v>
      </c>
      <c r="D26" s="4"/>
      <c r="E26" s="5">
        <f t="shared" si="0"/>
        <v>450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8788</v>
      </c>
      <c r="C28" s="12">
        <v>2.1</v>
      </c>
      <c r="D28" s="4"/>
      <c r="E28" s="5">
        <f t="shared" si="0"/>
        <v>18454.8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161</v>
      </c>
      <c r="C30" s="5">
        <v>67</v>
      </c>
      <c r="D30" s="4"/>
      <c r="E30" s="5">
        <f t="shared" si="0"/>
        <v>10787</v>
      </c>
    </row>
    <row r="31" spans="1:5" x14ac:dyDescent="0.35">
      <c r="A31" s="52" t="s">
        <v>26</v>
      </c>
      <c r="B31" s="4">
        <v>900</v>
      </c>
      <c r="C31" s="5">
        <v>5.0999999999999996</v>
      </c>
      <c r="D31" s="4"/>
      <c r="E31" s="5">
        <f t="shared" si="0"/>
        <v>4590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62641.749999999993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1756932.35</v>
      </c>
    </row>
    <row r="38" spans="1:5" x14ac:dyDescent="0.35">
      <c r="A38" s="53" t="s">
        <v>33</v>
      </c>
      <c r="B38" s="4"/>
      <c r="C38" s="4"/>
      <c r="D38" s="4"/>
      <c r="E38" s="38">
        <f>E37/B3</f>
        <v>218.65990665836964</v>
      </c>
    </row>
    <row r="39" spans="1:5" x14ac:dyDescent="0.35">
      <c r="A39" s="55" t="s">
        <v>34</v>
      </c>
      <c r="B39" s="15"/>
      <c r="C39" s="20"/>
      <c r="D39" s="56"/>
      <c r="E39" s="56">
        <f>D3-E37</f>
        <v>171467.64999999991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</f>
        <v>8.8917055590126512</v>
      </c>
      <c r="E41" s="56">
        <f>C3-E38</f>
        <v>21.340093341630364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0</v>
      </c>
      <c r="C44" s="50"/>
      <c r="D44" s="4"/>
      <c r="E44" s="5">
        <f>B44*C44</f>
        <v>0</v>
      </c>
    </row>
    <row r="45" spans="1:5" x14ac:dyDescent="0.35">
      <c r="A45" s="52" t="s">
        <v>39</v>
      </c>
      <c r="B45" s="37">
        <v>76</v>
      </c>
      <c r="C45" s="37"/>
      <c r="D45" s="4"/>
      <c r="E45" s="5">
        <f>C45*B45</f>
        <v>0</v>
      </c>
    </row>
    <row r="46" spans="1:5" x14ac:dyDescent="0.35">
      <c r="A46" s="52" t="s">
        <v>40</v>
      </c>
      <c r="B46" s="37">
        <v>90</v>
      </c>
      <c r="C46" s="37"/>
      <c r="D46" s="4"/>
      <c r="E46" s="5">
        <f>C46*B46</f>
        <v>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0</v>
      </c>
    </row>
    <row r="50" spans="1:5" x14ac:dyDescent="0.35">
      <c r="A50" s="52" t="s">
        <v>43</v>
      </c>
      <c r="B50" s="4"/>
      <c r="C50" s="4"/>
      <c r="D50" s="38">
        <f>E49/E37%</f>
        <v>0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9505-5140-432D-938E-814B2A8EF913}">
  <dimension ref="A1:G54"/>
  <sheetViews>
    <sheetView topLeftCell="A29" workbookViewId="0">
      <selection activeCell="C47" sqref="C4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157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7000</v>
      </c>
      <c r="C2" s="5">
        <v>240</v>
      </c>
      <c r="D2" s="5">
        <f>C2*B2</f>
        <v>1680000</v>
      </c>
      <c r="E2" s="4"/>
      <c r="G2" t="s">
        <v>158</v>
      </c>
    </row>
    <row r="3" spans="1:7" x14ac:dyDescent="0.35">
      <c r="A3" s="52" t="s">
        <v>5</v>
      </c>
      <c r="B3" s="4">
        <v>7057</v>
      </c>
      <c r="C3" s="5">
        <v>240</v>
      </c>
      <c r="D3" s="5">
        <f>C3*B3</f>
        <v>1693680</v>
      </c>
      <c r="E3" s="4"/>
      <c r="G3" t="s">
        <v>160</v>
      </c>
    </row>
    <row r="4" spans="1:7" x14ac:dyDescent="0.35">
      <c r="A4" s="52"/>
      <c r="B4" s="5"/>
      <c r="C4" s="5"/>
      <c r="D4" s="5"/>
      <c r="E4" s="4"/>
      <c r="G4" t="s">
        <v>159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11960</v>
      </c>
      <c r="C9" s="5">
        <v>77</v>
      </c>
      <c r="D9" s="4"/>
      <c r="E9" s="5">
        <f>C9*B9</f>
        <v>920920</v>
      </c>
    </row>
    <row r="10" spans="1:7" x14ac:dyDescent="0.35">
      <c r="A10" s="52" t="s">
        <v>108</v>
      </c>
      <c r="B10" s="5">
        <v>8000</v>
      </c>
      <c r="C10" s="5">
        <v>8.4</v>
      </c>
      <c r="D10" s="4"/>
      <c r="E10" s="5">
        <f>C10*B10</f>
        <v>67200</v>
      </c>
    </row>
    <row r="11" spans="1:7" x14ac:dyDescent="0.35">
      <c r="A11" s="52"/>
      <c r="B11" s="5">
        <v>0</v>
      </c>
      <c r="C11" s="5">
        <v>0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988120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7057</v>
      </c>
      <c r="C16" s="5">
        <v>68.16</v>
      </c>
      <c r="D16" s="4"/>
      <c r="E16" s="38">
        <f>C16*B16</f>
        <v>481005.12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7057</v>
      </c>
      <c r="C19" s="12">
        <v>0.55000000000000004</v>
      </c>
      <c r="D19" s="4"/>
      <c r="E19" s="5">
        <f t="shared" ref="E19:E34" si="0">C19*B19</f>
        <v>3881.3500000000004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7080</v>
      </c>
      <c r="C21" s="12">
        <v>0.39</v>
      </c>
      <c r="D21" s="4"/>
      <c r="E21" s="5">
        <f t="shared" si="0"/>
        <v>2761.2000000000003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7057</v>
      </c>
      <c r="C24" s="12">
        <v>0.75</v>
      </c>
      <c r="D24" s="4"/>
      <c r="E24" s="5">
        <f t="shared" si="0"/>
        <v>5292.75</v>
      </c>
    </row>
    <row r="25" spans="1:5" ht="15.5" x14ac:dyDescent="0.35">
      <c r="A25" s="52" t="s">
        <v>20</v>
      </c>
      <c r="B25" s="4">
        <v>7080</v>
      </c>
      <c r="C25" s="12">
        <v>1.75</v>
      </c>
      <c r="D25" s="4"/>
      <c r="E25" s="5">
        <f t="shared" si="0"/>
        <v>12390</v>
      </c>
    </row>
    <row r="26" spans="1:5" ht="15.5" x14ac:dyDescent="0.35">
      <c r="A26" s="52" t="s">
        <v>21</v>
      </c>
      <c r="B26" s="4">
        <v>900</v>
      </c>
      <c r="C26" s="12">
        <v>0.5</v>
      </c>
      <c r="D26" s="4"/>
      <c r="E26" s="5">
        <f t="shared" si="0"/>
        <v>450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7057</v>
      </c>
      <c r="C28" s="12">
        <v>2.1</v>
      </c>
      <c r="D28" s="4"/>
      <c r="E28" s="5">
        <f t="shared" si="0"/>
        <v>14819.7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142</v>
      </c>
      <c r="C30" s="5">
        <v>67</v>
      </c>
      <c r="D30" s="4"/>
      <c r="E30" s="5">
        <f t="shared" si="0"/>
        <v>9514</v>
      </c>
    </row>
    <row r="31" spans="1:5" x14ac:dyDescent="0.35">
      <c r="A31" s="52" t="s">
        <v>26</v>
      </c>
      <c r="B31" s="4">
        <v>900</v>
      </c>
      <c r="C31" s="5">
        <v>5.0999999999999996</v>
      </c>
      <c r="D31" s="4"/>
      <c r="E31" s="5">
        <f t="shared" si="0"/>
        <v>4590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53703.6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1522828.72</v>
      </c>
    </row>
    <row r="38" spans="1:5" x14ac:dyDescent="0.35">
      <c r="A38" s="53" t="s">
        <v>33</v>
      </c>
      <c r="B38" s="4"/>
      <c r="C38" s="4"/>
      <c r="D38" s="4"/>
      <c r="E38" s="38">
        <f>E37/B3</f>
        <v>215.78981436871192</v>
      </c>
    </row>
    <row r="39" spans="1:5" x14ac:dyDescent="0.35">
      <c r="A39" s="55" t="s">
        <v>34</v>
      </c>
      <c r="B39" s="15"/>
      <c r="C39" s="20"/>
      <c r="D39" s="56"/>
      <c r="E39" s="56">
        <f>D3-E37</f>
        <v>170851.28000000003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E41*100/C2+D50</f>
        <v>11.927574164922289</v>
      </c>
      <c r="E41" s="56">
        <f>C3-E38</f>
        <v>24.210185631288084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564</v>
      </c>
      <c r="C44" s="50">
        <v>40</v>
      </c>
      <c r="D44" s="4"/>
      <c r="E44" s="5">
        <f>B44*C44</f>
        <v>22560</v>
      </c>
    </row>
    <row r="45" spans="1:5" x14ac:dyDescent="0.35">
      <c r="A45" s="52" t="s">
        <v>39</v>
      </c>
      <c r="B45" s="37">
        <v>56</v>
      </c>
      <c r="C45" s="37">
        <v>10</v>
      </c>
      <c r="D45" s="4"/>
      <c r="E45" s="5">
        <f>C45*B45</f>
        <v>560</v>
      </c>
    </row>
    <row r="46" spans="1:5" x14ac:dyDescent="0.35">
      <c r="A46" s="52" t="s">
        <v>40</v>
      </c>
      <c r="B46" s="37">
        <v>49</v>
      </c>
      <c r="C46" s="37">
        <v>100</v>
      </c>
      <c r="D46" s="4"/>
      <c r="E46" s="5">
        <f>C46*B46</f>
        <v>4900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28020</v>
      </c>
    </row>
    <row r="50" spans="1:5" x14ac:dyDescent="0.35">
      <c r="A50" s="52" t="s">
        <v>43</v>
      </c>
      <c r="B50" s="4"/>
      <c r="C50" s="4"/>
      <c r="D50" s="38">
        <f>E49/E37%</f>
        <v>1.8399968185522533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FB5B-181E-4362-A9DE-9EF67C33EEBB}">
  <dimension ref="A1:G54"/>
  <sheetViews>
    <sheetView topLeftCell="A40" workbookViewId="0">
      <selection activeCell="D41" sqref="D4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51" t="s">
        <v>161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5">
      <c r="A2" s="52" t="s">
        <v>4</v>
      </c>
      <c r="B2" s="4">
        <v>7500</v>
      </c>
      <c r="C2" s="5">
        <v>240</v>
      </c>
      <c r="D2" s="5">
        <f>C2*B2</f>
        <v>1800000</v>
      </c>
      <c r="E2" s="4"/>
      <c r="G2" t="s">
        <v>162</v>
      </c>
    </row>
    <row r="3" spans="1:7" x14ac:dyDescent="0.35">
      <c r="A3" s="52" t="s">
        <v>5</v>
      </c>
      <c r="B3" s="4">
        <v>7526</v>
      </c>
      <c r="C3" s="5">
        <v>240</v>
      </c>
      <c r="D3" s="5">
        <f>C3*B3</f>
        <v>1806240</v>
      </c>
      <c r="E3" s="4"/>
      <c r="G3" t="s">
        <v>164</v>
      </c>
    </row>
    <row r="4" spans="1:7" x14ac:dyDescent="0.35">
      <c r="A4" s="52"/>
      <c r="B4" s="5"/>
      <c r="C4" s="5"/>
      <c r="D4" s="5"/>
      <c r="E4" s="4"/>
      <c r="G4" t="s">
        <v>163</v>
      </c>
    </row>
    <row r="5" spans="1:7" x14ac:dyDescent="0.35">
      <c r="A5" s="52"/>
      <c r="B5" s="4"/>
      <c r="C5" s="5"/>
      <c r="D5" s="4"/>
      <c r="E5" s="4"/>
    </row>
    <row r="6" spans="1:7" x14ac:dyDescent="0.35">
      <c r="A6" s="53" t="s">
        <v>6</v>
      </c>
      <c r="B6" s="4"/>
      <c r="C6" s="5"/>
      <c r="D6" s="4"/>
      <c r="E6" s="4"/>
    </row>
    <row r="7" spans="1:7" x14ac:dyDescent="0.35">
      <c r="A7" s="52" t="s">
        <v>7</v>
      </c>
      <c r="B7" s="4">
        <v>1.61</v>
      </c>
      <c r="C7" s="5"/>
      <c r="D7" s="4"/>
      <c r="E7" s="4"/>
    </row>
    <row r="8" spans="1:7" x14ac:dyDescent="0.35">
      <c r="A8" s="52" t="s">
        <v>107</v>
      </c>
      <c r="B8" s="5">
        <v>0</v>
      </c>
      <c r="C8" s="5">
        <v>0</v>
      </c>
      <c r="D8" s="4"/>
      <c r="E8" s="5">
        <f>C8*B8</f>
        <v>0</v>
      </c>
    </row>
    <row r="9" spans="1:7" x14ac:dyDescent="0.35">
      <c r="A9" s="52" t="s">
        <v>52</v>
      </c>
      <c r="B9" s="5">
        <v>12979</v>
      </c>
      <c r="C9" s="5">
        <v>77</v>
      </c>
      <c r="D9" s="4"/>
      <c r="E9" s="5">
        <f>C9*B9</f>
        <v>999383</v>
      </c>
    </row>
    <row r="10" spans="1:7" x14ac:dyDescent="0.35">
      <c r="A10" s="52" t="s">
        <v>108</v>
      </c>
      <c r="B10" s="5">
        <v>7550</v>
      </c>
      <c r="C10" s="5">
        <v>8.4</v>
      </c>
      <c r="D10" s="4"/>
      <c r="E10" s="5">
        <f>C10*B10</f>
        <v>63420</v>
      </c>
    </row>
    <row r="11" spans="1:7" x14ac:dyDescent="0.35">
      <c r="A11" s="52"/>
      <c r="B11" s="5">
        <v>0</v>
      </c>
      <c r="C11" s="5">
        <v>0</v>
      </c>
      <c r="D11" s="4"/>
      <c r="E11" s="5">
        <f>C11*B11</f>
        <v>0</v>
      </c>
    </row>
    <row r="12" spans="1:7" x14ac:dyDescent="0.35">
      <c r="A12" s="52"/>
      <c r="B12" s="5"/>
      <c r="C12" s="5"/>
      <c r="D12" s="4"/>
      <c r="E12" s="5">
        <f>B12*C13</f>
        <v>0</v>
      </c>
    </row>
    <row r="13" spans="1:7" x14ac:dyDescent="0.35">
      <c r="A13" s="52"/>
      <c r="B13" s="54"/>
      <c r="C13" s="5"/>
      <c r="D13" s="4"/>
      <c r="E13" s="5">
        <f>B13*C14</f>
        <v>0</v>
      </c>
    </row>
    <row r="14" spans="1:7" x14ac:dyDescent="0.35">
      <c r="A14" s="53" t="s">
        <v>11</v>
      </c>
      <c r="B14" s="5"/>
      <c r="C14" s="5"/>
      <c r="D14" s="4"/>
      <c r="E14" s="38">
        <f>SUM(E8:E13)</f>
        <v>1062803</v>
      </c>
    </row>
    <row r="15" spans="1:7" x14ac:dyDescent="0.35">
      <c r="A15" s="52"/>
      <c r="B15" s="5"/>
      <c r="C15" s="5"/>
      <c r="D15" s="4"/>
      <c r="E15" s="5"/>
    </row>
    <row r="16" spans="1:7" x14ac:dyDescent="0.35">
      <c r="A16" s="53" t="s">
        <v>12</v>
      </c>
      <c r="B16" s="4">
        <v>7526</v>
      </c>
      <c r="C16" s="5">
        <v>71.16</v>
      </c>
      <c r="D16" s="4"/>
      <c r="E16" s="38">
        <f>C16*B16</f>
        <v>535550.15999999992</v>
      </c>
    </row>
    <row r="17" spans="1:5" x14ac:dyDescent="0.35">
      <c r="A17" s="53"/>
      <c r="B17" s="4"/>
      <c r="C17" s="11"/>
      <c r="D17" s="4"/>
      <c r="E17" s="38">
        <f>C17*B17</f>
        <v>0</v>
      </c>
    </row>
    <row r="18" spans="1:5" x14ac:dyDescent="0.35">
      <c r="A18" s="53" t="s">
        <v>13</v>
      </c>
      <c r="B18" s="4"/>
      <c r="C18" s="4"/>
      <c r="D18" s="4"/>
      <c r="E18" s="5"/>
    </row>
    <row r="19" spans="1:5" ht="15.5" x14ac:dyDescent="0.35">
      <c r="A19" s="52" t="s">
        <v>14</v>
      </c>
      <c r="B19" s="4">
        <v>7617</v>
      </c>
      <c r="C19" s="12">
        <v>0.55000000000000004</v>
      </c>
      <c r="D19" s="4"/>
      <c r="E19" s="5">
        <f t="shared" ref="E19:E34" si="0">C19*B19</f>
        <v>4189.3500000000004</v>
      </c>
    </row>
    <row r="20" spans="1:5" ht="15.5" x14ac:dyDescent="0.35">
      <c r="A20" s="52" t="s">
        <v>15</v>
      </c>
      <c r="B20" s="4">
        <v>0</v>
      </c>
      <c r="C20" s="12">
        <v>0.75</v>
      </c>
      <c r="D20" s="4"/>
      <c r="E20" s="5">
        <f t="shared" si="0"/>
        <v>0</v>
      </c>
    </row>
    <row r="21" spans="1:5" ht="15.5" x14ac:dyDescent="0.35">
      <c r="A21" s="52" t="s">
        <v>16</v>
      </c>
      <c r="B21" s="4">
        <v>7650</v>
      </c>
      <c r="C21" s="12">
        <v>0.39</v>
      </c>
      <c r="D21" s="4"/>
      <c r="E21" s="5">
        <f t="shared" si="0"/>
        <v>2983.5</v>
      </c>
    </row>
    <row r="22" spans="1:5" ht="15.5" x14ac:dyDescent="0.35">
      <c r="A22" s="52" t="s">
        <v>17</v>
      </c>
      <c r="B22" s="4"/>
      <c r="C22" s="12">
        <v>0</v>
      </c>
      <c r="D22" s="4"/>
      <c r="E22" s="5">
        <f t="shared" si="0"/>
        <v>0</v>
      </c>
    </row>
    <row r="23" spans="1:5" ht="15.5" x14ac:dyDescent="0.35">
      <c r="A23" s="52" t="s">
        <v>18</v>
      </c>
      <c r="B23" s="4"/>
      <c r="C23" s="12">
        <v>0</v>
      </c>
      <c r="D23" s="4"/>
      <c r="E23" s="5">
        <f t="shared" si="0"/>
        <v>0</v>
      </c>
    </row>
    <row r="24" spans="1:5" ht="15.5" x14ac:dyDescent="0.35">
      <c r="A24" s="52" t="s">
        <v>19</v>
      </c>
      <c r="B24" s="4">
        <v>7526</v>
      </c>
      <c r="C24" s="12">
        <v>0.75</v>
      </c>
      <c r="D24" s="4"/>
      <c r="E24" s="5">
        <f t="shared" si="0"/>
        <v>5644.5</v>
      </c>
    </row>
    <row r="25" spans="1:5" ht="15.5" x14ac:dyDescent="0.35">
      <c r="A25" s="52" t="s">
        <v>20</v>
      </c>
      <c r="B25" s="4">
        <v>7650</v>
      </c>
      <c r="C25" s="12">
        <v>1.75</v>
      </c>
      <c r="D25" s="4"/>
      <c r="E25" s="5">
        <f t="shared" si="0"/>
        <v>13387.5</v>
      </c>
    </row>
    <row r="26" spans="1:5" ht="15.5" x14ac:dyDescent="0.35">
      <c r="A26" s="52" t="s">
        <v>21</v>
      </c>
      <c r="B26" s="4">
        <v>900</v>
      </c>
      <c r="C26" s="12">
        <v>0.5</v>
      </c>
      <c r="D26" s="4"/>
      <c r="E26" s="5">
        <f t="shared" si="0"/>
        <v>450</v>
      </c>
    </row>
    <row r="27" spans="1:5" ht="15.5" x14ac:dyDescent="0.35">
      <c r="A27" s="52" t="s">
        <v>22</v>
      </c>
      <c r="B27" s="4">
        <v>0</v>
      </c>
      <c r="C27" s="12">
        <v>0</v>
      </c>
      <c r="D27" s="4"/>
      <c r="E27" s="5">
        <f t="shared" si="0"/>
        <v>0</v>
      </c>
    </row>
    <row r="28" spans="1:5" ht="15.5" x14ac:dyDescent="0.35">
      <c r="A28" s="52" t="s">
        <v>23</v>
      </c>
      <c r="B28" s="4">
        <v>7650</v>
      </c>
      <c r="C28" s="12">
        <v>2.1</v>
      </c>
      <c r="D28" s="4"/>
      <c r="E28" s="5">
        <f t="shared" si="0"/>
        <v>16065</v>
      </c>
    </row>
    <row r="29" spans="1:5" ht="15.5" x14ac:dyDescent="0.35">
      <c r="A29" s="52" t="s">
        <v>24</v>
      </c>
      <c r="B29" s="4"/>
      <c r="C29" s="12"/>
      <c r="D29" s="4"/>
      <c r="E29" s="5">
        <f t="shared" si="0"/>
        <v>0</v>
      </c>
    </row>
    <row r="30" spans="1:5" x14ac:dyDescent="0.35">
      <c r="A30" s="52" t="s">
        <v>25</v>
      </c>
      <c r="B30" s="4">
        <v>152</v>
      </c>
      <c r="C30" s="5">
        <v>67</v>
      </c>
      <c r="D30" s="4"/>
      <c r="E30" s="5">
        <f t="shared" si="0"/>
        <v>10184</v>
      </c>
    </row>
    <row r="31" spans="1:5" x14ac:dyDescent="0.35">
      <c r="A31" s="52" t="s">
        <v>26</v>
      </c>
      <c r="B31" s="4">
        <v>900</v>
      </c>
      <c r="C31" s="5">
        <v>5.0999999999999996</v>
      </c>
      <c r="D31" s="4"/>
      <c r="E31" s="5">
        <f t="shared" si="0"/>
        <v>4590</v>
      </c>
    </row>
    <row r="32" spans="1:5" x14ac:dyDescent="0.35">
      <c r="A32" s="52" t="s">
        <v>27</v>
      </c>
      <c r="B32" s="4">
        <v>1</v>
      </c>
      <c r="C32" s="5">
        <v>0.6</v>
      </c>
      <c r="D32" s="4"/>
      <c r="E32" s="5">
        <f>C32*B32</f>
        <v>0.6</v>
      </c>
    </row>
    <row r="33" spans="1:5" x14ac:dyDescent="0.35">
      <c r="A33" s="52" t="s">
        <v>28</v>
      </c>
      <c r="B33" s="13">
        <v>1</v>
      </c>
      <c r="C33" s="5">
        <v>4</v>
      </c>
      <c r="D33" s="4"/>
      <c r="E33" s="5">
        <f t="shared" si="0"/>
        <v>4</v>
      </c>
    </row>
    <row r="34" spans="1:5" x14ac:dyDescent="0.35">
      <c r="A34" s="52" t="s">
        <v>29</v>
      </c>
      <c r="B34" s="13"/>
      <c r="C34" s="5"/>
      <c r="D34" s="4"/>
      <c r="E34" s="5">
        <f t="shared" si="0"/>
        <v>0</v>
      </c>
    </row>
    <row r="35" spans="1:5" x14ac:dyDescent="0.35">
      <c r="A35" s="53" t="s">
        <v>30</v>
      </c>
      <c r="B35" s="4"/>
      <c r="C35" s="4"/>
      <c r="D35" s="4"/>
      <c r="E35" s="38">
        <f>SUM(E19:E34)</f>
        <v>57498.45</v>
      </c>
    </row>
    <row r="36" spans="1:5" x14ac:dyDescent="0.35">
      <c r="A36" s="53" t="s">
        <v>31</v>
      </c>
      <c r="B36" s="4"/>
      <c r="C36" s="4"/>
      <c r="D36" s="4"/>
      <c r="E36" s="38"/>
    </row>
    <row r="37" spans="1:5" x14ac:dyDescent="0.35">
      <c r="A37" s="53" t="s">
        <v>32</v>
      </c>
      <c r="B37" s="4"/>
      <c r="C37" s="4"/>
      <c r="D37" s="4"/>
      <c r="E37" s="38">
        <f>SUM(E35,E14,E16,E36)-D4</f>
        <v>1655851.6099999999</v>
      </c>
    </row>
    <row r="38" spans="1:5" x14ac:dyDescent="0.35">
      <c r="A38" s="53" t="s">
        <v>33</v>
      </c>
      <c r="B38" s="4"/>
      <c r="C38" s="4"/>
      <c r="D38" s="4"/>
      <c r="E38" s="38">
        <f>E37/B3</f>
        <v>220.01748737709272</v>
      </c>
    </row>
    <row r="39" spans="1:5" x14ac:dyDescent="0.35">
      <c r="A39" s="55" t="s">
        <v>34</v>
      </c>
      <c r="B39" s="15"/>
      <c r="C39" s="20"/>
      <c r="D39" s="56"/>
      <c r="E39" s="56">
        <f>D3-E37</f>
        <v>150388.39000000013</v>
      </c>
    </row>
    <row r="40" spans="1:5" x14ac:dyDescent="0.35">
      <c r="A40" s="55"/>
      <c r="B40" s="20"/>
      <c r="C40" s="20"/>
      <c r="D40" s="56"/>
      <c r="E40" s="56"/>
    </row>
    <row r="41" spans="1:5" x14ac:dyDescent="0.35">
      <c r="A41" s="55" t="s">
        <v>35</v>
      </c>
      <c r="B41" s="20"/>
      <c r="C41" s="20" t="s">
        <v>36</v>
      </c>
      <c r="D41" s="56">
        <f>E41*100/C2+D50</f>
        <v>10.778561375860633</v>
      </c>
      <c r="E41" s="56">
        <f>C3-E38</f>
        <v>19.982512622907279</v>
      </c>
    </row>
    <row r="42" spans="1:5" x14ac:dyDescent="0.35">
      <c r="A42" s="52"/>
      <c r="B42" s="4"/>
      <c r="C42" s="4"/>
      <c r="D42" s="4"/>
      <c r="E42" s="4"/>
    </row>
    <row r="43" spans="1:5" x14ac:dyDescent="0.35">
      <c r="A43" s="53" t="s">
        <v>37</v>
      </c>
      <c r="B43" s="4"/>
      <c r="C43" s="4"/>
      <c r="D43" s="4"/>
      <c r="E43" s="38"/>
    </row>
    <row r="44" spans="1:5" x14ac:dyDescent="0.35">
      <c r="A44" s="57" t="s">
        <v>38</v>
      </c>
      <c r="B44" s="50">
        <v>870</v>
      </c>
      <c r="C44" s="50">
        <v>40</v>
      </c>
      <c r="D44" s="4"/>
      <c r="E44" s="5">
        <f>B44*C44</f>
        <v>34800</v>
      </c>
    </row>
    <row r="45" spans="1:5" x14ac:dyDescent="0.35">
      <c r="A45" s="52" t="s">
        <v>39</v>
      </c>
      <c r="B45" s="37">
        <v>31</v>
      </c>
      <c r="C45" s="37">
        <v>10</v>
      </c>
      <c r="D45" s="4"/>
      <c r="E45" s="5">
        <f>C45*B45</f>
        <v>310</v>
      </c>
    </row>
    <row r="46" spans="1:5" x14ac:dyDescent="0.35">
      <c r="A46" s="52" t="s">
        <v>40</v>
      </c>
      <c r="B46" s="37">
        <v>55</v>
      </c>
      <c r="C46" s="37">
        <v>100</v>
      </c>
      <c r="D46" s="4"/>
      <c r="E46" s="5">
        <f>C46*B46</f>
        <v>5500</v>
      </c>
    </row>
    <row r="47" spans="1:5" x14ac:dyDescent="0.35">
      <c r="A47" s="52" t="s">
        <v>41</v>
      </c>
      <c r="B47" s="37"/>
      <c r="C47" s="5"/>
      <c r="D47" s="4"/>
      <c r="E47" s="38">
        <f>B47*C47</f>
        <v>0</v>
      </c>
    </row>
    <row r="48" spans="1:5" x14ac:dyDescent="0.35">
      <c r="A48" s="53"/>
      <c r="B48" s="4"/>
      <c r="C48" s="4"/>
      <c r="D48" s="4"/>
      <c r="E48" s="38"/>
    </row>
    <row r="49" spans="1:5" x14ac:dyDescent="0.35">
      <c r="A49" s="52" t="s">
        <v>42</v>
      </c>
      <c r="B49" s="4"/>
      <c r="C49" s="4"/>
      <c r="D49" s="38"/>
      <c r="E49" s="38">
        <f>SUM(E44:E48)</f>
        <v>40610</v>
      </c>
    </row>
    <row r="50" spans="1:5" x14ac:dyDescent="0.35">
      <c r="A50" s="52" t="s">
        <v>43</v>
      </c>
      <c r="B50" s="4"/>
      <c r="C50" s="4"/>
      <c r="D50" s="38">
        <f>E49/E37%</f>
        <v>2.4525144496492657</v>
      </c>
      <c r="E50" s="4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EFE2-BE8B-4673-B7AB-6577199A6666}">
  <sheetPr>
    <tabColor rgb="FFFF0000"/>
  </sheetPr>
  <dimension ref="A1:E54"/>
  <sheetViews>
    <sheetView workbookViewId="0">
      <selection activeCell="A11" sqref="A1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68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305</v>
      </c>
      <c r="D2" s="5">
        <f>C2*B2</f>
        <v>1750395</v>
      </c>
      <c r="E2" s="6"/>
    </row>
    <row r="3" spans="1:5" x14ac:dyDescent="0.35">
      <c r="A3" s="3" t="s">
        <v>5</v>
      </c>
      <c r="B3" s="4">
        <v>5739</v>
      </c>
      <c r="C3" s="5">
        <v>305</v>
      </c>
      <c r="D3" s="5">
        <f>C3*B3</f>
        <v>1750395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1.43</v>
      </c>
      <c r="C7" s="5"/>
      <c r="D7" s="4"/>
      <c r="E7" s="6"/>
    </row>
    <row r="8" spans="1:5" x14ac:dyDescent="0.35">
      <c r="A8" s="3" t="s">
        <v>75</v>
      </c>
      <c r="B8" s="5">
        <v>9537</v>
      </c>
      <c r="C8" s="5">
        <v>75</v>
      </c>
      <c r="D8" s="4"/>
      <c r="E8" s="8">
        <f>C8*B8</f>
        <v>715275</v>
      </c>
    </row>
    <row r="9" spans="1:5" x14ac:dyDescent="0.35">
      <c r="A9" s="3" t="s">
        <v>70</v>
      </c>
      <c r="B9" s="5">
        <v>5785</v>
      </c>
      <c r="C9" s="5">
        <v>33.5</v>
      </c>
      <c r="D9" s="4"/>
      <c r="E9" s="8">
        <f>C9*B9</f>
        <v>193797.5</v>
      </c>
    </row>
    <row r="10" spans="1:5" x14ac:dyDescent="0.35">
      <c r="A10" s="3" t="s">
        <v>71</v>
      </c>
      <c r="B10" s="5">
        <v>4524</v>
      </c>
      <c r="C10" s="9">
        <v>16.5</v>
      </c>
      <c r="D10" s="4"/>
      <c r="E10" s="8">
        <f>C10*B10</f>
        <v>74646</v>
      </c>
    </row>
    <row r="11" spans="1:5" x14ac:dyDescent="0.35">
      <c r="A11" s="3" t="s">
        <v>83</v>
      </c>
      <c r="B11" s="5">
        <v>18000</v>
      </c>
      <c r="C11" s="9">
        <v>1.5</v>
      </c>
      <c r="D11" s="4"/>
      <c r="E11" s="8">
        <f>C11*B11</f>
        <v>27000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1010718.5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5739</v>
      </c>
      <c r="C16" s="5">
        <v>65.86</v>
      </c>
      <c r="D16" s="4"/>
      <c r="E16" s="10">
        <f>C16*B16</f>
        <v>377970.54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5762</v>
      </c>
      <c r="C19" s="12">
        <v>0.55000000000000004</v>
      </c>
      <c r="D19" s="4"/>
      <c r="E19" s="8">
        <f t="shared" ref="E19:E34" si="0">C19*B19</f>
        <v>3169.1000000000004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5762</v>
      </c>
      <c r="C21" s="12">
        <v>0.39</v>
      </c>
      <c r="D21" s="4"/>
      <c r="E21" s="8">
        <f t="shared" si="0"/>
        <v>2247.1800000000003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5762</v>
      </c>
      <c r="C24" s="12">
        <v>0.75</v>
      </c>
      <c r="D24" s="4"/>
      <c r="E24" s="8">
        <f t="shared" si="0"/>
        <v>4321.5</v>
      </c>
    </row>
    <row r="25" spans="1:5" ht="15.5" x14ac:dyDescent="0.35">
      <c r="A25" s="3" t="s">
        <v>20</v>
      </c>
      <c r="B25" s="4">
        <v>5762</v>
      </c>
      <c r="C25" s="12">
        <v>1.75</v>
      </c>
      <c r="D25" s="4"/>
      <c r="E25" s="8">
        <f t="shared" si="0"/>
        <v>10083.5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5800</v>
      </c>
      <c r="C27" s="12">
        <v>0.75</v>
      </c>
      <c r="D27" s="4"/>
      <c r="E27" s="8">
        <f t="shared" si="0"/>
        <v>4350</v>
      </c>
    </row>
    <row r="28" spans="1:5" ht="15.5" x14ac:dyDescent="0.35">
      <c r="A28" s="3" t="s">
        <v>23</v>
      </c>
      <c r="B28" s="4">
        <v>5762</v>
      </c>
      <c r="C28" s="12">
        <v>2.1</v>
      </c>
      <c r="D28" s="4"/>
      <c r="E28" s="8">
        <f t="shared" si="0"/>
        <v>12100.2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174</v>
      </c>
      <c r="C32" s="5">
        <v>0.6</v>
      </c>
      <c r="D32" s="4"/>
      <c r="E32" s="8">
        <f>C32*B32</f>
        <v>104.39999999999999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50272.13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1438961.17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250.73378114654119</v>
      </c>
    </row>
    <row r="39" spans="1:5" x14ac:dyDescent="0.35">
      <c r="A39" s="14" t="s">
        <v>34</v>
      </c>
      <c r="B39" s="15"/>
      <c r="C39" s="16"/>
      <c r="D39" s="17"/>
      <c r="E39" s="18">
        <f>D3-E37</f>
        <v>311433.83000000007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17.792202902773383</v>
      </c>
      <c r="E41" s="28">
        <f>C3-E38</f>
        <v>54.26621885345881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498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23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17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6B73-40D5-4896-9D87-FF30949F06EA}">
  <dimension ref="A1:E54"/>
  <sheetViews>
    <sheetView topLeftCell="A27" workbookViewId="0">
      <selection activeCell="B10" sqref="B10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73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308</v>
      </c>
      <c r="D2" s="5">
        <f>C2*B2</f>
        <v>1767612</v>
      </c>
      <c r="E2" s="6"/>
    </row>
    <row r="3" spans="1:5" x14ac:dyDescent="0.35">
      <c r="A3" s="3" t="s">
        <v>5</v>
      </c>
      <c r="B3" s="4">
        <v>5678</v>
      </c>
      <c r="C3" s="5">
        <v>308</v>
      </c>
      <c r="D3" s="5">
        <f>C3*B3</f>
        <v>1748824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1.43</v>
      </c>
      <c r="C7" s="5"/>
      <c r="D7" s="4"/>
      <c r="E7" s="6"/>
    </row>
    <row r="8" spans="1:5" x14ac:dyDescent="0.35">
      <c r="A8" s="3" t="s">
        <v>69</v>
      </c>
      <c r="B8" s="5">
        <v>9408</v>
      </c>
      <c r="C8" s="5">
        <v>70</v>
      </c>
      <c r="D8" s="4"/>
      <c r="E8" s="8">
        <f>C8*B8</f>
        <v>658560</v>
      </c>
    </row>
    <row r="9" spans="1:5" x14ac:dyDescent="0.35">
      <c r="A9" s="3" t="s">
        <v>74</v>
      </c>
      <c r="B9" s="5">
        <v>5700</v>
      </c>
      <c r="C9" s="5">
        <v>60</v>
      </c>
      <c r="D9" s="4"/>
      <c r="E9" s="8">
        <f>C9*B9</f>
        <v>342000</v>
      </c>
    </row>
    <row r="10" spans="1:5" x14ac:dyDescent="0.35">
      <c r="A10" s="3" t="s">
        <v>46</v>
      </c>
      <c r="B10" s="5">
        <v>16000</v>
      </c>
      <c r="C10" s="9">
        <v>1.5</v>
      </c>
      <c r="D10" s="4"/>
      <c r="E10" s="8">
        <f>C10*B10</f>
        <v>24000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1024560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5678</v>
      </c>
      <c r="C16" s="5">
        <v>65.86</v>
      </c>
      <c r="D16" s="4"/>
      <c r="E16" s="10">
        <f>C16*B16</f>
        <v>373953.08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5762</v>
      </c>
      <c r="C19" s="12">
        <v>0.55000000000000004</v>
      </c>
      <c r="D19" s="4"/>
      <c r="E19" s="8">
        <f t="shared" ref="E19:E34" si="0">C19*B19</f>
        <v>3169.1000000000004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5762</v>
      </c>
      <c r="C21" s="12">
        <v>0.39</v>
      </c>
      <c r="D21" s="4"/>
      <c r="E21" s="8">
        <f t="shared" si="0"/>
        <v>2247.1800000000003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5762</v>
      </c>
      <c r="C24" s="12">
        <v>0.75</v>
      </c>
      <c r="D24" s="4"/>
      <c r="E24" s="8">
        <f t="shared" si="0"/>
        <v>4321.5</v>
      </c>
    </row>
    <row r="25" spans="1:5" ht="15.5" x14ac:dyDescent="0.35">
      <c r="A25" s="3" t="s">
        <v>20</v>
      </c>
      <c r="B25" s="4">
        <v>5762</v>
      </c>
      <c r="C25" s="12">
        <v>1.75</v>
      </c>
      <c r="D25" s="4"/>
      <c r="E25" s="8">
        <f t="shared" si="0"/>
        <v>10083.5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5762</v>
      </c>
      <c r="C28" s="12">
        <v>2.1</v>
      </c>
      <c r="D28" s="4"/>
      <c r="E28" s="8">
        <f t="shared" si="0"/>
        <v>12100.2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125</v>
      </c>
      <c r="C32" s="5">
        <v>0.6</v>
      </c>
      <c r="D32" s="4"/>
      <c r="E32" s="8">
        <f>C32*B32</f>
        <v>75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50017.729999999996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1448530.81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255.11285840084537</v>
      </c>
    </row>
    <row r="39" spans="1:5" x14ac:dyDescent="0.35">
      <c r="A39" s="14" t="s">
        <v>34</v>
      </c>
      <c r="B39" s="15"/>
      <c r="C39" s="16"/>
      <c r="D39" s="17"/>
      <c r="E39" s="18">
        <f>D3-E37</f>
        <v>300293.18999999994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17.171149869855398</v>
      </c>
      <c r="E41" s="28">
        <f>C3-E38</f>
        <v>52.887141599154631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0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17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8C41-3082-4E04-9EC4-C3FC73CD299F}">
  <dimension ref="A1:E54"/>
  <sheetViews>
    <sheetView topLeftCell="A3" workbookViewId="0">
      <selection activeCell="D40" sqref="D40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76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310</v>
      </c>
      <c r="D2" s="5">
        <f>C2*B2</f>
        <v>1779090</v>
      </c>
      <c r="E2" s="6"/>
    </row>
    <row r="3" spans="1:5" x14ac:dyDescent="0.35">
      <c r="A3" s="3" t="s">
        <v>5</v>
      </c>
      <c r="B3" s="4">
        <v>5623</v>
      </c>
      <c r="C3" s="5">
        <v>310</v>
      </c>
      <c r="D3" s="5">
        <f>C3*B3</f>
        <v>1743130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1.54</v>
      </c>
      <c r="C7" s="5"/>
      <c r="D7" s="4"/>
      <c r="E7" s="6"/>
    </row>
    <row r="8" spans="1:5" x14ac:dyDescent="0.35">
      <c r="A8" s="3" t="s">
        <v>75</v>
      </c>
      <c r="B8" s="5">
        <v>10600</v>
      </c>
      <c r="C8" s="5">
        <v>75</v>
      </c>
      <c r="D8" s="4"/>
      <c r="E8" s="8">
        <f>C8*B8</f>
        <v>795000</v>
      </c>
    </row>
    <row r="9" spans="1:5" x14ac:dyDescent="0.35">
      <c r="A9" s="3" t="s">
        <v>77</v>
      </c>
      <c r="B9" s="5">
        <v>5785</v>
      </c>
      <c r="C9" s="5">
        <v>47</v>
      </c>
      <c r="D9" s="4"/>
      <c r="E9" s="8">
        <f>C9*B9</f>
        <v>271895</v>
      </c>
    </row>
    <row r="10" spans="1:5" x14ac:dyDescent="0.35">
      <c r="A10" s="3"/>
      <c r="B10" s="5">
        <v>0</v>
      </c>
      <c r="C10" s="9">
        <v>0</v>
      </c>
      <c r="D10" s="4"/>
      <c r="E10" s="8">
        <f>C10*B10</f>
        <v>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1066895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5623</v>
      </c>
      <c r="C16" s="5">
        <v>60.6</v>
      </c>
      <c r="D16" s="4"/>
      <c r="E16" s="10">
        <f>C16*B16</f>
        <v>340753.8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5765</v>
      </c>
      <c r="C19" s="12">
        <v>0.55000000000000004</v>
      </c>
      <c r="D19" s="4"/>
      <c r="E19" s="8">
        <f t="shared" ref="E19:E34" si="0">C19*B19</f>
        <v>3170.7500000000005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5765</v>
      </c>
      <c r="C21" s="12">
        <v>0.39</v>
      </c>
      <c r="D21" s="4"/>
      <c r="E21" s="8">
        <f t="shared" si="0"/>
        <v>2248.35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5765</v>
      </c>
      <c r="C24" s="12">
        <v>0.75</v>
      </c>
      <c r="D24" s="4"/>
      <c r="E24" s="8">
        <f t="shared" si="0"/>
        <v>4323.75</v>
      </c>
    </row>
    <row r="25" spans="1:5" ht="15.5" x14ac:dyDescent="0.35">
      <c r="A25" s="3" t="s">
        <v>20</v>
      </c>
      <c r="B25" s="4">
        <v>5765</v>
      </c>
      <c r="C25" s="12">
        <v>1.75</v>
      </c>
      <c r="D25" s="4"/>
      <c r="E25" s="8">
        <f t="shared" si="0"/>
        <v>10088.75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5762</v>
      </c>
      <c r="C28" s="12">
        <v>2.1</v>
      </c>
      <c r="D28" s="4"/>
      <c r="E28" s="8">
        <f t="shared" si="0"/>
        <v>12100.2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123</v>
      </c>
      <c r="C30" s="5">
        <v>67</v>
      </c>
      <c r="D30" s="4"/>
      <c r="E30" s="8">
        <f t="shared" si="0"/>
        <v>8241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49892.850000000006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1457541.6500000001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259.21067935265876</v>
      </c>
    </row>
    <row r="39" spans="1:5" x14ac:dyDescent="0.35">
      <c r="A39" s="14" t="s">
        <v>34</v>
      </c>
      <c r="B39" s="15"/>
      <c r="C39" s="16"/>
      <c r="D39" s="17"/>
      <c r="E39" s="18">
        <f>D3-E37</f>
        <v>285588.34999999986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16.383651821722982</v>
      </c>
      <c r="E41" s="28">
        <f>C3-E38</f>
        <v>50.789320647341242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376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44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136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6F60-E602-4311-822B-B244867FC4C0}">
  <dimension ref="A1:E54"/>
  <sheetViews>
    <sheetView workbookViewId="0">
      <selection activeCell="B17" sqref="B1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78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320</v>
      </c>
      <c r="D2" s="5">
        <f>C2*B2</f>
        <v>1836480</v>
      </c>
      <c r="E2" s="6"/>
    </row>
    <row r="3" spans="1:5" x14ac:dyDescent="0.35">
      <c r="A3" s="3" t="s">
        <v>5</v>
      </c>
      <c r="B3" s="4">
        <v>5216</v>
      </c>
      <c r="C3" s="5">
        <v>320</v>
      </c>
      <c r="D3" s="5">
        <f>C3*B3</f>
        <v>1669120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1.78</v>
      </c>
      <c r="C7" s="5"/>
      <c r="D7" s="4"/>
      <c r="E7" s="6"/>
    </row>
    <row r="8" spans="1:5" x14ac:dyDescent="0.35">
      <c r="A8" s="3" t="s">
        <v>69</v>
      </c>
      <c r="B8" s="5">
        <v>9900</v>
      </c>
      <c r="C8" s="5">
        <v>68.5</v>
      </c>
      <c r="D8" s="4"/>
      <c r="E8" s="8">
        <f>C8*B8</f>
        <v>678150</v>
      </c>
    </row>
    <row r="9" spans="1:5" x14ac:dyDescent="0.35">
      <c r="A9" s="3" t="s">
        <v>79</v>
      </c>
      <c r="B9" s="5">
        <v>5323</v>
      </c>
      <c r="C9" s="5">
        <v>61</v>
      </c>
      <c r="D9" s="4"/>
      <c r="E9" s="8">
        <f>C9*B9</f>
        <v>324703</v>
      </c>
    </row>
    <row r="10" spans="1:5" x14ac:dyDescent="0.35">
      <c r="A10" s="3" t="s">
        <v>80</v>
      </c>
      <c r="B10" s="5">
        <v>180</v>
      </c>
      <c r="C10" s="9">
        <v>324</v>
      </c>
      <c r="D10" s="4"/>
      <c r="E10" s="8">
        <f>C10*B10</f>
        <v>58320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1061173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5216</v>
      </c>
      <c r="C16" s="5">
        <v>60.6</v>
      </c>
      <c r="D16" s="4"/>
      <c r="E16" s="10">
        <f>C16*B16</f>
        <v>316089.60000000003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5323</v>
      </c>
      <c r="C19" s="12">
        <v>0.55000000000000004</v>
      </c>
      <c r="D19" s="4"/>
      <c r="E19" s="8">
        <f t="shared" ref="E19:E34" si="0">C19*B19</f>
        <v>2927.65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5323</v>
      </c>
      <c r="C21" s="12">
        <v>0.39</v>
      </c>
      <c r="D21" s="4"/>
      <c r="E21" s="8">
        <f t="shared" si="0"/>
        <v>2075.9700000000003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5323</v>
      </c>
      <c r="C24" s="12">
        <v>0.75</v>
      </c>
      <c r="D24" s="4"/>
      <c r="E24" s="8">
        <f t="shared" si="0"/>
        <v>3992.25</v>
      </c>
    </row>
    <row r="25" spans="1:5" ht="15.5" x14ac:dyDescent="0.35">
      <c r="A25" s="3" t="s">
        <v>20</v>
      </c>
      <c r="B25" s="4">
        <v>5323</v>
      </c>
      <c r="C25" s="12">
        <v>1.75</v>
      </c>
      <c r="D25" s="4"/>
      <c r="E25" s="8">
        <f t="shared" si="0"/>
        <v>9315.25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5323</v>
      </c>
      <c r="C28" s="12">
        <v>2.1</v>
      </c>
      <c r="D28" s="4"/>
      <c r="E28" s="8">
        <f t="shared" si="0"/>
        <v>11178.300000000001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123</v>
      </c>
      <c r="C30" s="5">
        <v>67</v>
      </c>
      <c r="D30" s="4"/>
      <c r="E30" s="8">
        <f t="shared" si="0"/>
        <v>8241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47450.470000000008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1424713.07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273.14284317484663</v>
      </c>
    </row>
    <row r="39" spans="1:5" x14ac:dyDescent="0.35">
      <c r="A39" s="14" t="s">
        <v>34</v>
      </c>
      <c r="B39" s="15"/>
      <c r="C39" s="16"/>
      <c r="D39" s="17"/>
      <c r="E39" s="18">
        <f>D3-E37</f>
        <v>244406.92999999993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14.642861507860427</v>
      </c>
      <c r="E41" s="28">
        <f>C3-E38</f>
        <v>46.857156825153368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73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76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608D-8733-4765-9C28-3C64FB4B1F20}">
  <dimension ref="A1:E54"/>
  <sheetViews>
    <sheetView workbookViewId="0">
      <selection activeCell="G16" sqref="G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81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5739</v>
      </c>
      <c r="C2" s="5">
        <v>320</v>
      </c>
      <c r="D2" s="5">
        <f>C2*B2</f>
        <v>1836480</v>
      </c>
      <c r="E2" s="6"/>
    </row>
    <row r="3" spans="1:5" x14ac:dyDescent="0.35">
      <c r="A3" s="3" t="s">
        <v>5</v>
      </c>
      <c r="B3" s="4">
        <v>5490</v>
      </c>
      <c r="C3" s="5">
        <v>320</v>
      </c>
      <c r="D3" s="5">
        <f>C3*B3</f>
        <v>1756800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1.8</v>
      </c>
      <c r="C7" s="5"/>
      <c r="D7" s="4"/>
      <c r="E7" s="6"/>
    </row>
    <row r="8" spans="1:5" x14ac:dyDescent="0.35">
      <c r="A8" s="3" t="s">
        <v>69</v>
      </c>
      <c r="B8" s="5">
        <v>10094</v>
      </c>
      <c r="C8" s="5">
        <v>68.5</v>
      </c>
      <c r="D8" s="4"/>
      <c r="E8" s="8">
        <f>C8*B8</f>
        <v>691439</v>
      </c>
    </row>
    <row r="9" spans="1:5" x14ac:dyDescent="0.35">
      <c r="A9" s="3" t="s">
        <v>79</v>
      </c>
      <c r="B9" s="4">
        <v>5536</v>
      </c>
      <c r="C9" s="5">
        <v>54</v>
      </c>
      <c r="D9" s="4"/>
      <c r="E9" s="8">
        <f>C9*B9</f>
        <v>298944</v>
      </c>
    </row>
    <row r="10" spans="1:5" x14ac:dyDescent="0.35">
      <c r="A10" s="3" t="s">
        <v>82</v>
      </c>
      <c r="B10" s="5">
        <v>270</v>
      </c>
      <c r="C10" s="9">
        <v>110</v>
      </c>
      <c r="D10" s="4"/>
      <c r="E10" s="8">
        <f>C10*B10</f>
        <v>29700</v>
      </c>
    </row>
    <row r="11" spans="1:5" x14ac:dyDescent="0.35">
      <c r="A11" s="3" t="s">
        <v>46</v>
      </c>
      <c r="B11" s="5">
        <v>4000</v>
      </c>
      <c r="C11" s="9">
        <v>2</v>
      </c>
      <c r="D11" s="4"/>
      <c r="E11" s="8">
        <f>C11*B11</f>
        <v>8000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1028083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5490</v>
      </c>
      <c r="C16" s="5">
        <v>71.95</v>
      </c>
      <c r="D16" s="4"/>
      <c r="E16" s="10">
        <f>C16*B16</f>
        <v>395005.5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5536</v>
      </c>
      <c r="C19" s="12">
        <v>0.55000000000000004</v>
      </c>
      <c r="D19" s="4"/>
      <c r="E19" s="8">
        <f t="shared" ref="E19:E34" si="0">C19*B19</f>
        <v>3044.8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5536</v>
      </c>
      <c r="C21" s="12">
        <v>0.39</v>
      </c>
      <c r="D21" s="4"/>
      <c r="E21" s="8">
        <f t="shared" si="0"/>
        <v>2159.04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5536</v>
      </c>
      <c r="C24" s="12">
        <v>0.75</v>
      </c>
      <c r="D24" s="4"/>
      <c r="E24" s="8">
        <f t="shared" si="0"/>
        <v>4152</v>
      </c>
    </row>
    <row r="25" spans="1:5" ht="15.5" x14ac:dyDescent="0.35">
      <c r="A25" s="3" t="s">
        <v>20</v>
      </c>
      <c r="B25" s="4">
        <v>5536</v>
      </c>
      <c r="C25" s="12">
        <v>1.75</v>
      </c>
      <c r="D25" s="4"/>
      <c r="E25" s="8">
        <f t="shared" si="0"/>
        <v>9688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5536</v>
      </c>
      <c r="C28" s="12">
        <v>2.1</v>
      </c>
      <c r="D28" s="4"/>
      <c r="E28" s="8">
        <f t="shared" si="0"/>
        <v>11625.6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125</v>
      </c>
      <c r="C30" s="5">
        <v>67</v>
      </c>
      <c r="D30" s="4"/>
      <c r="E30" s="8">
        <f t="shared" si="0"/>
        <v>8375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48764.490000000005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1471852.99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268.09708378870675</v>
      </c>
    </row>
    <row r="39" spans="1:5" x14ac:dyDescent="0.35">
      <c r="A39" s="14" t="s">
        <v>34</v>
      </c>
      <c r="B39" s="15"/>
      <c r="C39" s="16"/>
      <c r="D39" s="17"/>
      <c r="E39" s="18">
        <f>D3-E37</f>
        <v>284947.01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16.219661316029139</v>
      </c>
      <c r="E41" s="28">
        <f>C3-E38</f>
        <v>51.902916211293245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80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40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B823-193A-4729-AC81-405BA6B0BA93}">
  <dimension ref="A1:E54"/>
  <sheetViews>
    <sheetView workbookViewId="0">
      <selection activeCell="C27" sqref="C2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ht="21.5" customHeight="1" x14ac:dyDescent="0.35">
      <c r="A1" s="1" t="s">
        <v>81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5500</v>
      </c>
      <c r="C2" s="5">
        <v>308</v>
      </c>
      <c r="D2" s="5">
        <f>C2*B2</f>
        <v>1694000</v>
      </c>
      <c r="E2" s="6"/>
    </row>
    <row r="3" spans="1:5" x14ac:dyDescent="0.35">
      <c r="A3" s="3" t="s">
        <v>5</v>
      </c>
      <c r="B3" s="4">
        <v>5522</v>
      </c>
      <c r="C3" s="5">
        <v>308</v>
      </c>
      <c r="D3" s="5">
        <f>C3*B3</f>
        <v>1700776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1.6</v>
      </c>
      <c r="C7" s="5"/>
      <c r="D7" s="4"/>
      <c r="E7" s="6"/>
    </row>
    <row r="8" spans="1:5" x14ac:dyDescent="0.35">
      <c r="A8" s="3" t="s">
        <v>165</v>
      </c>
      <c r="B8" s="5">
        <v>9400</v>
      </c>
      <c r="C8" s="5">
        <v>89</v>
      </c>
      <c r="D8" s="4"/>
      <c r="E8" s="8">
        <f>C8*B8</f>
        <v>836600</v>
      </c>
    </row>
    <row r="9" spans="1:5" x14ac:dyDescent="0.35">
      <c r="A9" s="3" t="s">
        <v>166</v>
      </c>
      <c r="B9" s="4">
        <v>5550</v>
      </c>
      <c r="C9" s="5">
        <v>7.5</v>
      </c>
      <c r="D9" s="4"/>
      <c r="E9" s="8">
        <f>C9*B9</f>
        <v>41625</v>
      </c>
    </row>
    <row r="10" spans="1:5" x14ac:dyDescent="0.35">
      <c r="A10" s="3" t="s">
        <v>83</v>
      </c>
      <c r="B10" s="5">
        <v>17500</v>
      </c>
      <c r="C10" s="9">
        <v>1.5</v>
      </c>
      <c r="D10" s="4"/>
      <c r="E10" s="8">
        <f>C10*B10</f>
        <v>26250</v>
      </c>
    </row>
    <row r="11" spans="1:5" x14ac:dyDescent="0.35">
      <c r="A11" s="3" t="s">
        <v>46</v>
      </c>
      <c r="B11" s="5">
        <v>20600</v>
      </c>
      <c r="C11" s="9">
        <v>2.2000000000000002</v>
      </c>
      <c r="D11" s="4"/>
      <c r="E11" s="8">
        <f>C11*B11</f>
        <v>45320.000000000007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949795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5522</v>
      </c>
      <c r="C16" s="5">
        <v>69.010000000000005</v>
      </c>
      <c r="D16" s="4"/>
      <c r="E16" s="10">
        <f>C16*B16</f>
        <v>381073.22000000003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5536</v>
      </c>
      <c r="C19" s="12">
        <v>0.55000000000000004</v>
      </c>
      <c r="D19" s="4"/>
      <c r="E19" s="8">
        <f t="shared" ref="E19:E34" si="0">C19*B19</f>
        <v>3044.8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5550</v>
      </c>
      <c r="C21" s="12">
        <v>0.39</v>
      </c>
      <c r="D21" s="4"/>
      <c r="E21" s="8">
        <f t="shared" si="0"/>
        <v>2164.5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5522</v>
      </c>
      <c r="C24" s="12">
        <v>0.75</v>
      </c>
      <c r="D24" s="4"/>
      <c r="E24" s="8">
        <f t="shared" si="0"/>
        <v>4141.5</v>
      </c>
    </row>
    <row r="25" spans="1:5" ht="15.5" x14ac:dyDescent="0.35">
      <c r="A25" s="3" t="s">
        <v>20</v>
      </c>
      <c r="B25" s="4">
        <v>5550</v>
      </c>
      <c r="C25" s="12">
        <v>1.75</v>
      </c>
      <c r="D25" s="4"/>
      <c r="E25" s="8">
        <f t="shared" si="0"/>
        <v>9712.5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5550</v>
      </c>
      <c r="C27" s="12">
        <v>0.75</v>
      </c>
      <c r="D27" s="4"/>
      <c r="E27" s="8">
        <f t="shared" si="0"/>
        <v>4162.5</v>
      </c>
    </row>
    <row r="28" spans="1:5" ht="15.5" x14ac:dyDescent="0.35">
      <c r="A28" s="3" t="s">
        <v>23</v>
      </c>
      <c r="B28" s="4">
        <v>5522</v>
      </c>
      <c r="C28" s="12">
        <v>2.0499999999999998</v>
      </c>
      <c r="D28" s="4"/>
      <c r="E28" s="8">
        <f t="shared" si="0"/>
        <v>11320.099999999999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111</v>
      </c>
      <c r="C30" s="5">
        <v>67</v>
      </c>
      <c r="D30" s="4"/>
      <c r="E30" s="8">
        <f t="shared" si="0"/>
        <v>7437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111</v>
      </c>
      <c r="C32" s="5">
        <v>0.6</v>
      </c>
      <c r="D32" s="4"/>
      <c r="E32" s="8">
        <f>C32*B32</f>
        <v>66.599999999999994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47570.749999999993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1378438.97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249.62676023180006</v>
      </c>
    </row>
    <row r="39" spans="1:5" x14ac:dyDescent="0.35">
      <c r="A39" s="14" t="s">
        <v>34</v>
      </c>
      <c r="B39" s="15"/>
      <c r="C39" s="16"/>
      <c r="D39" s="17"/>
      <c r="E39" s="18">
        <f>D3-E37</f>
        <v>322337.03000000003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18.95235057409089</v>
      </c>
      <c r="E41" s="28">
        <f>C3-E38</f>
        <v>58.373239768199937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39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26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>
        <v>8</v>
      </c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7E1C-A3B7-4136-BB29-184B6176B2E6}">
  <dimension ref="A1:E54"/>
  <sheetViews>
    <sheetView workbookViewId="0">
      <selection activeCell="C15" sqref="C15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167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5500</v>
      </c>
      <c r="C2" s="5">
        <v>320</v>
      </c>
      <c r="D2" s="5">
        <f>C2*B2</f>
        <v>1760000</v>
      </c>
      <c r="E2" s="6"/>
    </row>
    <row r="3" spans="1:5" x14ac:dyDescent="0.35">
      <c r="A3" s="3" t="s">
        <v>5</v>
      </c>
      <c r="B3" s="4">
        <v>5486</v>
      </c>
      <c r="C3" s="5">
        <v>320</v>
      </c>
      <c r="D3" s="5">
        <f>C3*B3</f>
        <v>1755520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v>1.78</v>
      </c>
      <c r="C7" s="5"/>
      <c r="D7" s="4"/>
      <c r="E7" s="6"/>
    </row>
    <row r="8" spans="1:5" x14ac:dyDescent="0.35">
      <c r="A8" s="3" t="s">
        <v>69</v>
      </c>
      <c r="B8" s="5">
        <v>9900</v>
      </c>
      <c r="C8" s="5">
        <v>68.5</v>
      </c>
      <c r="D8" s="4"/>
      <c r="E8" s="8">
        <f>C8*B8</f>
        <v>678150</v>
      </c>
    </row>
    <row r="9" spans="1:5" x14ac:dyDescent="0.35">
      <c r="A9" s="3" t="s">
        <v>79</v>
      </c>
      <c r="B9" s="5">
        <v>5535</v>
      </c>
      <c r="C9" s="5">
        <v>61</v>
      </c>
      <c r="D9" s="4"/>
      <c r="E9" s="8">
        <f>C9*B9</f>
        <v>337635</v>
      </c>
    </row>
    <row r="10" spans="1:5" x14ac:dyDescent="0.35">
      <c r="A10" s="3" t="s">
        <v>80</v>
      </c>
      <c r="B10" s="5">
        <v>180</v>
      </c>
      <c r="C10" s="9">
        <v>324</v>
      </c>
      <c r="D10" s="4"/>
      <c r="E10" s="8">
        <f>C10*B10</f>
        <v>58320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1074105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5486</v>
      </c>
      <c r="C16" s="5">
        <v>60.6</v>
      </c>
      <c r="D16" s="4"/>
      <c r="E16" s="10">
        <f>C16*B16</f>
        <v>332451.60000000003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5500</v>
      </c>
      <c r="C19" s="12">
        <v>0.55000000000000004</v>
      </c>
      <c r="D19" s="4"/>
      <c r="E19" s="8">
        <f t="shared" ref="E19:E34" si="0">C19*B19</f>
        <v>3025.0000000000005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5500</v>
      </c>
      <c r="C21" s="12">
        <v>0.39</v>
      </c>
      <c r="D21" s="4"/>
      <c r="E21" s="8">
        <f t="shared" si="0"/>
        <v>2145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5486</v>
      </c>
      <c r="C24" s="12">
        <v>0.75</v>
      </c>
      <c r="D24" s="4"/>
      <c r="E24" s="8">
        <f t="shared" si="0"/>
        <v>4114.5</v>
      </c>
    </row>
    <row r="25" spans="1:5" ht="15.5" x14ac:dyDescent="0.35">
      <c r="A25" s="3" t="s">
        <v>20</v>
      </c>
      <c r="B25" s="4">
        <v>5500</v>
      </c>
      <c r="C25" s="12">
        <v>1.75</v>
      </c>
      <c r="D25" s="4"/>
      <c r="E25" s="8">
        <f t="shared" si="0"/>
        <v>9625</v>
      </c>
    </row>
    <row r="26" spans="1:5" ht="15.5" x14ac:dyDescent="0.35">
      <c r="A26" s="3" t="s">
        <v>21</v>
      </c>
      <c r="B26" s="4">
        <v>761</v>
      </c>
      <c r="C26" s="12">
        <v>0.5</v>
      </c>
      <c r="D26" s="4"/>
      <c r="E26" s="8">
        <f t="shared" si="0"/>
        <v>380.5</v>
      </c>
    </row>
    <row r="27" spans="1:5" ht="15.5" x14ac:dyDescent="0.35">
      <c r="A27" s="3" t="s">
        <v>72</v>
      </c>
      <c r="B27" s="4">
        <v>5500</v>
      </c>
      <c r="C27" s="12">
        <v>0.75</v>
      </c>
      <c r="D27" s="4"/>
      <c r="E27" s="8">
        <f t="shared" si="0"/>
        <v>4125</v>
      </c>
    </row>
    <row r="28" spans="1:5" ht="15.5" x14ac:dyDescent="0.35">
      <c r="A28" s="3" t="s">
        <v>23</v>
      </c>
      <c r="B28" s="4">
        <v>5323</v>
      </c>
      <c r="C28" s="12">
        <v>2.1</v>
      </c>
      <c r="D28" s="4"/>
      <c r="E28" s="8">
        <f t="shared" si="0"/>
        <v>11178.300000000001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123</v>
      </c>
      <c r="C30" s="5">
        <v>67</v>
      </c>
      <c r="D30" s="4"/>
      <c r="E30" s="8">
        <f t="shared" si="0"/>
        <v>8241</v>
      </c>
    </row>
    <row r="31" spans="1:5" x14ac:dyDescent="0.35">
      <c r="A31" s="3" t="s">
        <v>26</v>
      </c>
      <c r="B31" s="4">
        <v>761</v>
      </c>
      <c r="C31" s="5">
        <v>6.75</v>
      </c>
      <c r="D31" s="4"/>
      <c r="E31" s="8">
        <f t="shared" si="0"/>
        <v>5136.75</v>
      </c>
    </row>
    <row r="32" spans="1:5" x14ac:dyDescent="0.35">
      <c r="A32" s="3" t="s">
        <v>27</v>
      </c>
      <c r="B32" s="4">
        <v>123</v>
      </c>
      <c r="C32" s="5">
        <v>0.6</v>
      </c>
      <c r="D32" s="4"/>
      <c r="E32" s="8">
        <f>C32*B32</f>
        <v>73.8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48048.850000000006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1454605.4500000002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265.14864199781266</v>
      </c>
    </row>
    <row r="39" spans="1:5" x14ac:dyDescent="0.35">
      <c r="A39" s="14" t="s">
        <v>34</v>
      </c>
      <c r="B39" s="15"/>
      <c r="C39" s="16"/>
      <c r="D39" s="17"/>
      <c r="E39" s="18">
        <f>D3-E37</f>
        <v>300914.54999999981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17.141049375683544</v>
      </c>
      <c r="E41" s="28">
        <f>C3-E38</f>
        <v>54.851358002187339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0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v>73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76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5D5E-780F-4B0E-8EC8-E7667C553CED}">
  <dimension ref="A1:E54"/>
  <sheetViews>
    <sheetView workbookViewId="0">
      <selection activeCell="B2" sqref="B2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  <col min="9" max="9" width="31.54296875" customWidth="1"/>
  </cols>
  <sheetData>
    <row r="1" spans="1:5" x14ac:dyDescent="0.35">
      <c r="A1" s="1" t="s">
        <v>168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</v>
      </c>
      <c r="B2" s="4">
        <v>3000</v>
      </c>
      <c r="C2" s="5">
        <v>490</v>
      </c>
      <c r="D2" s="5">
        <f>C2*B2</f>
        <v>1470000</v>
      </c>
      <c r="E2" s="6"/>
    </row>
    <row r="3" spans="1:5" x14ac:dyDescent="0.35">
      <c r="A3" s="3" t="s">
        <v>5</v>
      </c>
      <c r="B3" s="4">
        <v>2866</v>
      </c>
      <c r="C3" s="5">
        <v>490</v>
      </c>
      <c r="D3" s="5">
        <f>C3*B3</f>
        <v>1404340</v>
      </c>
      <c r="E3" s="6"/>
    </row>
    <row r="4" spans="1:5" x14ac:dyDescent="0.35">
      <c r="A4" s="3"/>
      <c r="B4" s="5"/>
      <c r="C4" s="5"/>
      <c r="D4" s="5"/>
      <c r="E4" s="6"/>
    </row>
    <row r="5" spans="1:5" x14ac:dyDescent="0.35">
      <c r="A5" s="3"/>
      <c r="B5" s="4"/>
      <c r="C5" s="5"/>
      <c r="D5" s="4"/>
      <c r="E5" s="6"/>
    </row>
    <row r="6" spans="1:5" x14ac:dyDescent="0.35">
      <c r="A6" s="7" t="s">
        <v>6</v>
      </c>
      <c r="B6" s="4"/>
      <c r="C6" s="5"/>
      <c r="D6" s="4"/>
      <c r="E6" s="6"/>
    </row>
    <row r="7" spans="1:5" x14ac:dyDescent="0.35">
      <c r="A7" s="3" t="s">
        <v>7</v>
      </c>
      <c r="B7" s="4">
        <f>1.1+0.8+1.35+0.05+0.17</f>
        <v>3.4699999999999998</v>
      </c>
      <c r="C7" s="5"/>
      <c r="D7" s="4"/>
      <c r="E7" s="6"/>
    </row>
    <row r="8" spans="1:5" x14ac:dyDescent="0.35">
      <c r="A8" s="3" t="s">
        <v>169</v>
      </c>
      <c r="B8" s="5">
        <v>4160</v>
      </c>
      <c r="C8" s="5">
        <v>61</v>
      </c>
      <c r="D8" s="4"/>
      <c r="E8" s="8">
        <f>C8*B8</f>
        <v>253760</v>
      </c>
    </row>
    <row r="9" spans="1:5" x14ac:dyDescent="0.35">
      <c r="A9" s="3" t="s">
        <v>170</v>
      </c>
      <c r="B9" s="5">
        <v>6081</v>
      </c>
      <c r="C9" s="5">
        <v>77.5</v>
      </c>
      <c r="D9" s="4"/>
      <c r="E9" s="8">
        <f>C9*B9</f>
        <v>471277.5</v>
      </c>
    </row>
    <row r="10" spans="1:5" x14ac:dyDescent="0.35">
      <c r="A10" s="3" t="s">
        <v>80</v>
      </c>
      <c r="B10" s="5">
        <v>0</v>
      </c>
      <c r="C10" s="9">
        <v>0</v>
      </c>
      <c r="D10" s="4"/>
      <c r="E10" s="8">
        <f>C10*B10</f>
        <v>0</v>
      </c>
    </row>
    <row r="11" spans="1:5" x14ac:dyDescent="0.35">
      <c r="A11" s="3" t="s">
        <v>46</v>
      </c>
      <c r="B11" s="5"/>
      <c r="C11" s="9">
        <v>0</v>
      </c>
      <c r="D11" s="4"/>
      <c r="E11" s="8">
        <f>C11*B11</f>
        <v>0</v>
      </c>
    </row>
    <row r="12" spans="1:5" x14ac:dyDescent="0.35">
      <c r="A12" s="3" t="s">
        <v>9</v>
      </c>
      <c r="B12" s="5"/>
      <c r="C12" s="5"/>
      <c r="D12" s="4"/>
      <c r="E12" s="8">
        <f>B12*C13</f>
        <v>0</v>
      </c>
    </row>
    <row r="13" spans="1:5" x14ac:dyDescent="0.35">
      <c r="A13" s="3" t="s">
        <v>10</v>
      </c>
      <c r="C13" s="5"/>
      <c r="D13" s="4"/>
      <c r="E13" s="8">
        <f>B13*C14</f>
        <v>0</v>
      </c>
    </row>
    <row r="14" spans="1:5" x14ac:dyDescent="0.35">
      <c r="A14" s="7" t="s">
        <v>11</v>
      </c>
      <c r="B14" s="5"/>
      <c r="C14" s="5"/>
      <c r="D14" s="4"/>
      <c r="E14" s="10">
        <f>SUM(E8:E13)</f>
        <v>725037.5</v>
      </c>
    </row>
    <row r="15" spans="1:5" x14ac:dyDescent="0.35">
      <c r="A15" s="3"/>
      <c r="B15" s="5"/>
      <c r="C15" s="5"/>
      <c r="D15" s="4"/>
      <c r="E15" s="8"/>
    </row>
    <row r="16" spans="1:5" x14ac:dyDescent="0.35">
      <c r="A16" s="7" t="s">
        <v>12</v>
      </c>
      <c r="B16" s="4">
        <v>2866</v>
      </c>
      <c r="C16" s="5">
        <f>62.32+53.27</f>
        <v>115.59</v>
      </c>
      <c r="D16" s="4"/>
      <c r="E16" s="10">
        <f>C16*B16</f>
        <v>331280.94</v>
      </c>
    </row>
    <row r="17" spans="1:5" x14ac:dyDescent="0.35">
      <c r="A17" s="7"/>
      <c r="B17" s="4"/>
      <c r="C17" s="11"/>
      <c r="D17" s="4"/>
      <c r="E17" s="10">
        <f>C17*B17</f>
        <v>0</v>
      </c>
    </row>
    <row r="18" spans="1:5" x14ac:dyDescent="0.35">
      <c r="A18" s="7" t="s">
        <v>13</v>
      </c>
      <c r="B18" s="4"/>
      <c r="C18" s="4"/>
      <c r="D18" s="4"/>
      <c r="E18" s="8"/>
    </row>
    <row r="19" spans="1:5" ht="15.5" x14ac:dyDescent="0.35">
      <c r="A19" s="3" t="s">
        <v>14</v>
      </c>
      <c r="B19" s="4">
        <v>2945</v>
      </c>
      <c r="C19" s="12">
        <v>0.55000000000000004</v>
      </c>
      <c r="D19" s="4"/>
      <c r="E19" s="8">
        <f t="shared" ref="E19:E34" si="0">C19*B19</f>
        <v>1619.7500000000002</v>
      </c>
    </row>
    <row r="20" spans="1:5" ht="15.5" x14ac:dyDescent="0.35">
      <c r="A20" s="3" t="s">
        <v>15</v>
      </c>
      <c r="B20" s="4"/>
      <c r="C20" s="12">
        <v>0.75</v>
      </c>
      <c r="D20" s="4"/>
      <c r="E20" s="8">
        <f t="shared" si="0"/>
        <v>0</v>
      </c>
    </row>
    <row r="21" spans="1:5" ht="15.5" x14ac:dyDescent="0.35">
      <c r="A21" s="3" t="s">
        <v>16</v>
      </c>
      <c r="B21" s="4">
        <v>3020</v>
      </c>
      <c r="C21" s="12">
        <v>0.39</v>
      </c>
      <c r="D21" s="4"/>
      <c r="E21" s="8">
        <f t="shared" si="0"/>
        <v>1177.8</v>
      </c>
    </row>
    <row r="22" spans="1:5" ht="15.5" x14ac:dyDescent="0.35">
      <c r="A22" s="3" t="s">
        <v>17</v>
      </c>
      <c r="B22" s="4"/>
      <c r="C22" s="12">
        <v>0</v>
      </c>
      <c r="D22" s="4"/>
      <c r="E22" s="8">
        <f t="shared" si="0"/>
        <v>0</v>
      </c>
    </row>
    <row r="23" spans="1:5" ht="15.5" x14ac:dyDescent="0.35">
      <c r="A23" s="3" t="s">
        <v>18</v>
      </c>
      <c r="B23" s="4"/>
      <c r="C23" s="12">
        <v>0</v>
      </c>
      <c r="D23" s="4"/>
      <c r="E23" s="8">
        <f t="shared" si="0"/>
        <v>0</v>
      </c>
    </row>
    <row r="24" spans="1:5" ht="15.5" x14ac:dyDescent="0.35">
      <c r="A24" s="3" t="s">
        <v>19</v>
      </c>
      <c r="B24" s="4">
        <v>2866</v>
      </c>
      <c r="C24" s="12">
        <v>0.75</v>
      </c>
      <c r="D24" s="4"/>
      <c r="E24" s="8">
        <f t="shared" si="0"/>
        <v>2149.5</v>
      </c>
    </row>
    <row r="25" spans="1:5" ht="15.5" x14ac:dyDescent="0.35">
      <c r="A25" s="3" t="s">
        <v>20</v>
      </c>
      <c r="B25" s="4">
        <v>3020</v>
      </c>
      <c r="C25" s="12">
        <v>1.75</v>
      </c>
      <c r="D25" s="4"/>
      <c r="E25" s="8">
        <f t="shared" si="0"/>
        <v>5285</v>
      </c>
    </row>
    <row r="26" spans="1:5" ht="15.5" x14ac:dyDescent="0.35">
      <c r="A26" s="3" t="s">
        <v>21</v>
      </c>
      <c r="B26" s="4">
        <v>420</v>
      </c>
      <c r="C26" s="12">
        <v>0.5</v>
      </c>
      <c r="D26" s="4"/>
      <c r="E26" s="8">
        <f t="shared" si="0"/>
        <v>210</v>
      </c>
    </row>
    <row r="27" spans="1:5" ht="15.5" x14ac:dyDescent="0.35">
      <c r="A27" s="3" t="s">
        <v>72</v>
      </c>
      <c r="B27" s="4">
        <v>2900</v>
      </c>
      <c r="C27" s="12">
        <v>0.75</v>
      </c>
      <c r="D27" s="4"/>
      <c r="E27" s="8">
        <f t="shared" si="0"/>
        <v>2175</v>
      </c>
    </row>
    <row r="28" spans="1:5" ht="15.5" x14ac:dyDescent="0.35">
      <c r="A28" s="3" t="s">
        <v>23</v>
      </c>
      <c r="B28" s="4">
        <v>2866</v>
      </c>
      <c r="C28" s="12">
        <v>2.1</v>
      </c>
      <c r="D28" s="4"/>
      <c r="E28" s="8">
        <f t="shared" si="0"/>
        <v>6018.6</v>
      </c>
    </row>
    <row r="29" spans="1:5" ht="15.5" x14ac:dyDescent="0.35">
      <c r="A29" s="3" t="s">
        <v>24</v>
      </c>
      <c r="B29" s="4"/>
      <c r="C29" s="12"/>
      <c r="D29" s="4"/>
      <c r="E29" s="8">
        <f t="shared" si="0"/>
        <v>0</v>
      </c>
    </row>
    <row r="30" spans="1:5" x14ac:dyDescent="0.35">
      <c r="A30" s="3" t="s">
        <v>25</v>
      </c>
      <c r="B30" s="4">
        <v>115</v>
      </c>
      <c r="C30" s="5">
        <v>67</v>
      </c>
      <c r="D30" s="4"/>
      <c r="E30" s="8">
        <f t="shared" si="0"/>
        <v>7705</v>
      </c>
    </row>
    <row r="31" spans="1:5" x14ac:dyDescent="0.35">
      <c r="A31" s="3" t="s">
        <v>26</v>
      </c>
      <c r="B31" s="4">
        <v>420</v>
      </c>
      <c r="C31" s="5">
        <v>6.75</v>
      </c>
      <c r="D31" s="4"/>
      <c r="E31" s="8">
        <f t="shared" si="0"/>
        <v>2835</v>
      </c>
    </row>
    <row r="32" spans="1:5" x14ac:dyDescent="0.35">
      <c r="A32" s="3" t="s">
        <v>27</v>
      </c>
      <c r="B32" s="4">
        <v>115</v>
      </c>
      <c r="C32" s="5">
        <v>0.6</v>
      </c>
      <c r="D32" s="4"/>
      <c r="E32" s="8">
        <f>C32*B32</f>
        <v>69</v>
      </c>
    </row>
    <row r="33" spans="1:5" x14ac:dyDescent="0.35">
      <c r="A33" s="3" t="s">
        <v>62</v>
      </c>
      <c r="B33" s="13">
        <v>1</v>
      </c>
      <c r="C33" s="5">
        <v>4</v>
      </c>
      <c r="D33" s="4"/>
      <c r="E33" s="8">
        <f t="shared" si="0"/>
        <v>4</v>
      </c>
    </row>
    <row r="34" spans="1:5" x14ac:dyDescent="0.35">
      <c r="A34" s="3" t="s">
        <v>29</v>
      </c>
      <c r="B34" s="13"/>
      <c r="C34" s="5"/>
      <c r="D34" s="4"/>
      <c r="E34" s="8">
        <f t="shared" si="0"/>
        <v>0</v>
      </c>
    </row>
    <row r="35" spans="1:5" x14ac:dyDescent="0.35">
      <c r="A35" s="7" t="s">
        <v>30</v>
      </c>
      <c r="B35" s="4"/>
      <c r="C35" s="4"/>
      <c r="D35" s="4"/>
      <c r="E35" s="10">
        <f>SUM(E19:E34)</f>
        <v>29248.65</v>
      </c>
    </row>
    <row r="36" spans="1:5" x14ac:dyDescent="0.35">
      <c r="A36" s="7" t="s">
        <v>31</v>
      </c>
      <c r="B36" s="4"/>
      <c r="C36" s="4"/>
      <c r="D36" s="4"/>
      <c r="E36" s="10"/>
    </row>
    <row r="37" spans="1:5" x14ac:dyDescent="0.35">
      <c r="A37" s="7" t="s">
        <v>32</v>
      </c>
      <c r="B37" s="4"/>
      <c r="C37" s="4"/>
      <c r="D37" s="4"/>
      <c r="E37" s="10">
        <f>SUM(E35,E14,E16,E36)-D4</f>
        <v>1085567.0900000001</v>
      </c>
    </row>
    <row r="38" spans="1:5" ht="15" thickBot="1" x14ac:dyDescent="0.4">
      <c r="A38" s="7" t="s">
        <v>33</v>
      </c>
      <c r="B38" s="4"/>
      <c r="C38" s="4"/>
      <c r="D38" s="4"/>
      <c r="E38" s="10">
        <f>E37/B3</f>
        <v>378.77428122819265</v>
      </c>
    </row>
    <row r="39" spans="1:5" x14ac:dyDescent="0.35">
      <c r="A39" s="14" t="s">
        <v>34</v>
      </c>
      <c r="B39" s="15"/>
      <c r="C39" s="16"/>
      <c r="D39" s="17"/>
      <c r="E39" s="18">
        <f>D3-E37</f>
        <v>318772.90999999992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35</v>
      </c>
      <c r="B41" s="25"/>
      <c r="C41" s="26" t="s">
        <v>36</v>
      </c>
      <c r="D41" s="27">
        <f>E41*100/C2</f>
        <v>22.699126279960684</v>
      </c>
      <c r="E41" s="28">
        <f>C3-E38</f>
        <v>111.22571877180735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37</v>
      </c>
      <c r="B43" s="32"/>
      <c r="C43" s="32"/>
      <c r="D43" s="32"/>
      <c r="E43" s="33"/>
    </row>
    <row r="44" spans="1:5" x14ac:dyDescent="0.35">
      <c r="A44" s="34" t="s">
        <v>38</v>
      </c>
      <c r="B44" s="35">
        <v>179</v>
      </c>
      <c r="C44" s="35"/>
      <c r="D44" s="36"/>
      <c r="E44" s="8">
        <f>B44*C44</f>
        <v>0</v>
      </c>
    </row>
    <row r="45" spans="1:5" x14ac:dyDescent="0.35">
      <c r="A45" s="3" t="s">
        <v>39</v>
      </c>
      <c r="B45" s="37">
        <f>46+33</f>
        <v>79</v>
      </c>
      <c r="C45" s="37"/>
      <c r="D45" s="4"/>
      <c r="E45" s="8">
        <f>C45*B45</f>
        <v>0</v>
      </c>
    </row>
    <row r="46" spans="1:5" x14ac:dyDescent="0.35">
      <c r="A46" s="3" t="s">
        <v>40</v>
      </c>
      <c r="B46" s="37">
        <v>83</v>
      </c>
      <c r="C46" s="37"/>
      <c r="D46" s="4"/>
      <c r="E46" s="8">
        <f>C46*B46</f>
        <v>0</v>
      </c>
    </row>
    <row r="47" spans="1:5" x14ac:dyDescent="0.35">
      <c r="A47" s="3" t="s">
        <v>41</v>
      </c>
      <c r="B47" s="37"/>
      <c r="C47" s="5"/>
      <c r="D47" s="4"/>
      <c r="E47" s="10">
        <f>B47*C47</f>
        <v>0</v>
      </c>
    </row>
    <row r="48" spans="1:5" x14ac:dyDescent="0.35">
      <c r="A48" s="7"/>
      <c r="B48" s="4"/>
      <c r="C48" s="4"/>
      <c r="D48" s="4"/>
      <c r="E48" s="10"/>
    </row>
    <row r="49" spans="1:5" x14ac:dyDescent="0.35">
      <c r="A49" s="3" t="s">
        <v>42</v>
      </c>
      <c r="B49" s="4"/>
      <c r="C49" s="4"/>
      <c r="D49" s="38"/>
      <c r="E49" s="10">
        <f>SUM(E44:E48)</f>
        <v>0</v>
      </c>
    </row>
    <row r="50" spans="1:5" ht="15" thickBot="1" x14ac:dyDescent="0.4">
      <c r="A50" s="39" t="s">
        <v>43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4045</vt:lpstr>
      <vt:lpstr>4049</vt:lpstr>
      <vt:lpstr>4073</vt:lpstr>
      <vt:lpstr>5004</vt:lpstr>
      <vt:lpstr>4112</vt:lpstr>
      <vt:lpstr>4113</vt:lpstr>
      <vt:lpstr>4233</vt:lpstr>
      <vt:lpstr>65424</vt:lpstr>
      <vt:lpstr>68119</vt:lpstr>
      <vt:lpstr>65440</vt:lpstr>
      <vt:lpstr>65432</vt:lpstr>
      <vt:lpstr>79062</vt:lpstr>
      <vt:lpstr>5052</vt:lpstr>
      <vt:lpstr>5007</vt:lpstr>
      <vt:lpstr>5053</vt:lpstr>
      <vt:lpstr>5056</vt:lpstr>
      <vt:lpstr>5005</vt:lpstr>
      <vt:lpstr>5060</vt:lpstr>
      <vt:lpstr>5059</vt:lpstr>
      <vt:lpstr>5009 - FUCHSIA</vt:lpstr>
      <vt:lpstr>5009 - BLACK</vt:lpstr>
      <vt:lpstr>5008 - fuchsia</vt:lpstr>
      <vt:lpstr>5008 - off white</vt:lpstr>
      <vt:lpstr>5008 - BLACK</vt:lpstr>
      <vt:lpstr>5008 - rust</vt:lpstr>
      <vt:lpstr>5008 - peach</vt:lpstr>
      <vt:lpstr>5008 - MUSTARD</vt:lpstr>
      <vt:lpstr>6105</vt:lpstr>
      <vt:lpstr>6210</vt:lpstr>
      <vt:lpstr>6204</vt:lpstr>
      <vt:lpstr>6087</vt:lpstr>
      <vt:lpstr>6012</vt:lpstr>
      <vt:lpstr>6100</vt:lpstr>
      <vt:lpstr>6106</vt:lpstr>
      <vt:lpstr>6206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2026-06-26T05:41:05Z</dcterms:created>
  <dcterms:modified xsi:type="dcterms:W3CDTF">2026-10-07T09:52:00Z</dcterms:modified>
</cp:coreProperties>
</file>