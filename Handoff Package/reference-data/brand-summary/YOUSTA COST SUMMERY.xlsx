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/>
  </mc:AlternateContent>
  <xr:revisionPtr revIDLastSave="0" documentId="13_ncr:1_{35C81068-2D97-422C-AE28-CAA422D6A074}" xr6:coauthVersionLast="36" xr6:coauthVersionMax="36" xr10:uidLastSave="{00000000-0000-0000-0000-000000000000}"/>
  <bookViews>
    <workbookView xWindow="0" yWindow="0" windowWidth="19200" windowHeight="6520" xr2:uid="{B60E2F99-98D8-437E-942C-CBF6F1BA99CF}"/>
  </bookViews>
  <sheets>
    <sheet name="YOUS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2" l="1"/>
  <c r="I18" i="2"/>
  <c r="J18" i="2"/>
  <c r="G18" i="2"/>
  <c r="E18" i="2"/>
  <c r="K17" i="2" l="1"/>
  <c r="K16" i="2"/>
  <c r="J17" i="2"/>
  <c r="J16" i="2"/>
  <c r="I17" i="2"/>
  <c r="I16" i="2"/>
  <c r="K15" i="2"/>
  <c r="I15" i="2"/>
  <c r="J15" i="2" s="1"/>
  <c r="K14" i="2"/>
  <c r="I14" i="2"/>
  <c r="J14" i="2"/>
  <c r="K13" i="2"/>
  <c r="I13" i="2"/>
  <c r="J13" i="2" s="1"/>
  <c r="K11" i="2"/>
  <c r="I11" i="2"/>
  <c r="J11" i="2" s="1"/>
  <c r="K10" i="2"/>
  <c r="I10" i="2"/>
  <c r="J10" i="2" s="1"/>
  <c r="K9" i="2"/>
  <c r="I9" i="2"/>
  <c r="J9" i="2" s="1"/>
  <c r="K8" i="2"/>
  <c r="I8" i="2"/>
  <c r="J8" i="2" s="1"/>
  <c r="K7" i="2"/>
  <c r="I7" i="2"/>
  <c r="J7" i="2" s="1"/>
  <c r="K6" i="2"/>
  <c r="I6" i="2"/>
  <c r="J6" i="2" s="1"/>
  <c r="G17" i="2"/>
  <c r="G16" i="2"/>
  <c r="G15" i="2"/>
  <c r="G14" i="2"/>
  <c r="G13" i="2"/>
  <c r="G11" i="2"/>
  <c r="G10" i="2"/>
  <c r="G9" i="2"/>
  <c r="G8" i="2"/>
  <c r="G7" i="2"/>
  <c r="G6" i="2"/>
  <c r="K12" i="2"/>
  <c r="J12" i="2"/>
  <c r="I12" i="2"/>
  <c r="G12" i="2"/>
  <c r="E17" i="2"/>
  <c r="E16" i="2"/>
  <c r="E15" i="2"/>
  <c r="E14" i="2"/>
  <c r="E13" i="2"/>
  <c r="E11" i="2"/>
  <c r="E10" i="2"/>
  <c r="E9" i="2"/>
  <c r="E8" i="2"/>
  <c r="E7" i="2"/>
  <c r="E6" i="2"/>
  <c r="E12" i="2"/>
  <c r="I5" i="2" l="1"/>
  <c r="G5" i="2"/>
  <c r="J5" i="2" s="1"/>
  <c r="K5" i="2" s="1"/>
  <c r="E5" i="2"/>
  <c r="I4" i="2"/>
  <c r="G4" i="2"/>
  <c r="E4" i="2"/>
  <c r="I3" i="2"/>
  <c r="G3" i="2"/>
  <c r="J3" i="2" s="1"/>
  <c r="K3" i="2" s="1"/>
  <c r="E3" i="2"/>
  <c r="I2" i="2"/>
  <c r="G2" i="2"/>
  <c r="J2" i="2" s="1"/>
  <c r="K2" i="2" s="1"/>
  <c r="E2" i="2"/>
  <c r="J4" i="2" l="1"/>
  <c r="K4" i="2" s="1"/>
</calcChain>
</file>

<file path=xl/sharedStrings.xml><?xml version="1.0" encoding="utf-8"?>
<sst xmlns="http://schemas.openxmlformats.org/spreadsheetml/2006/main" count="45" uniqueCount="36">
  <si>
    <t>STYLE NO</t>
  </si>
  <si>
    <t>COL</t>
  </si>
  <si>
    <t>PO QNTY</t>
  </si>
  <si>
    <t>GREEN</t>
  </si>
  <si>
    <t>PO COST</t>
  </si>
  <si>
    <t>DISPATCHED QNTY</t>
  </si>
  <si>
    <t>PO VALUE</t>
  </si>
  <si>
    <t>ACTUAL VALUE</t>
  </si>
  <si>
    <t>YAS26ZWEWYF68119</t>
  </si>
  <si>
    <t>Lilac</t>
  </si>
  <si>
    <t>YAS26ZWEWYF65432</t>
  </si>
  <si>
    <t>YAS26XWEWYF65424</t>
  </si>
  <si>
    <t>YAS26ZWEWYF79062</t>
  </si>
  <si>
    <t>white</t>
  </si>
  <si>
    <t>Margin</t>
  </si>
  <si>
    <t>Actual Cost value</t>
  </si>
  <si>
    <t>Actual Cost</t>
  </si>
  <si>
    <t>Margin %</t>
  </si>
  <si>
    <t>YAS26ZWEWYF72145</t>
  </si>
  <si>
    <t>WHITE</t>
  </si>
  <si>
    <t>YAS26ZWEWYF67762</t>
  </si>
  <si>
    <t>YAS26XWEWYF71447</t>
  </si>
  <si>
    <t>YAS26XWETYF0556</t>
  </si>
  <si>
    <t>LT. BLUE</t>
  </si>
  <si>
    <t>YAS26ZWEWYF71429</t>
  </si>
  <si>
    <t>JET BLACK</t>
  </si>
  <si>
    <t>YAS26XWETYF0557</t>
  </si>
  <si>
    <t>YAS26XWETYF1714</t>
  </si>
  <si>
    <t>YAS26XWETYF2220/64701</t>
  </si>
  <si>
    <t>OFF WHITE</t>
  </si>
  <si>
    <t>YAS26XWEWYF74643</t>
  </si>
  <si>
    <t>YAS26XWETYF3113</t>
  </si>
  <si>
    <t>YAS26XWETYF1851</t>
  </si>
  <si>
    <t>DARK BLACK</t>
  </si>
  <si>
    <t>YAS26XWETYF2825</t>
  </si>
  <si>
    <t>YAS26XWETYF2397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</si>
</sst>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715C-5C3C-45BF-8B79-82DAF7D20D0F}">
  <dimension ref="A1:K18"/>
  <sheetViews>
    <sheetView tabSelected="1" workbookViewId="0">
      <selection activeCell="J7" sqref="J7"/>
    </sheetView>
  </sheetViews>
  <sheetFormatPr defaultRowHeight="14.5" x14ac:dyDescent="0.35"/>
  <cols>
    <col min="1" max="1" width="22.7265625" style="6" bestFit="1" customWidth="1"/>
    <col min="2" max="2" width="11" style="6" bestFit="1" customWidth="1"/>
    <col min="3" max="3" width="8.36328125" style="6" bestFit="1" customWidth="1"/>
    <col min="4" max="4" width="8.08984375" style="6" bestFit="1" customWidth="1"/>
    <col min="5" max="5" width="9.1796875" style="6" bestFit="1" customWidth="1"/>
    <col min="6" max="6" width="16.6328125" style="6" bestFit="1" customWidth="1"/>
    <col min="7" max="7" width="13.36328125" style="6" bestFit="1" customWidth="1"/>
    <col min="8" max="8" width="10.26953125" style="6" bestFit="1" customWidth="1"/>
    <col min="9" max="9" width="15.26953125" style="6" bestFit="1" customWidth="1"/>
    <col min="10" max="10" width="9.81640625" style="6" bestFit="1" customWidth="1"/>
    <col min="11" max="11" width="8.6328125" style="6" bestFit="1" customWidth="1"/>
    <col min="12" max="16384" width="8.7265625" style="6"/>
  </cols>
  <sheetData>
    <row r="1" spans="1:11" s="2" customFormat="1" ht="28.5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16</v>
      </c>
      <c r="I1" s="1" t="s">
        <v>15</v>
      </c>
      <c r="J1" s="1" t="s">
        <v>14</v>
      </c>
      <c r="K1" s="1" t="s">
        <v>17</v>
      </c>
    </row>
    <row r="2" spans="1:11" s="2" customFormat="1" x14ac:dyDescent="0.35">
      <c r="A2" s="2" t="s">
        <v>8</v>
      </c>
      <c r="B2" s="2" t="s">
        <v>9</v>
      </c>
      <c r="C2" s="2">
        <v>1569</v>
      </c>
      <c r="D2" s="2">
        <v>314</v>
      </c>
      <c r="E2" s="2">
        <f>C2*D2</f>
        <v>492666</v>
      </c>
      <c r="F2" s="2">
        <v>1569</v>
      </c>
      <c r="G2" s="2">
        <f>F2*D2</f>
        <v>492666</v>
      </c>
      <c r="H2" s="2">
        <v>229.61</v>
      </c>
      <c r="I2" s="2">
        <f>H2*F2</f>
        <v>360258.09</v>
      </c>
      <c r="J2" s="2">
        <f>G2-I2</f>
        <v>132407.90999999997</v>
      </c>
      <c r="K2" s="3">
        <f>J2/G2</f>
        <v>0.26875796178343941</v>
      </c>
    </row>
    <row r="3" spans="1:11" s="2" customFormat="1" x14ac:dyDescent="0.35">
      <c r="A3" s="2" t="s">
        <v>10</v>
      </c>
      <c r="B3" s="2" t="s">
        <v>9</v>
      </c>
      <c r="C3" s="2">
        <v>1188</v>
      </c>
      <c r="D3" s="2">
        <v>365</v>
      </c>
      <c r="E3" s="2">
        <f>C3*D3</f>
        <v>433620</v>
      </c>
      <c r="F3" s="2">
        <v>1188</v>
      </c>
      <c r="G3" s="2">
        <f>F3*D3</f>
        <v>433620</v>
      </c>
      <c r="H3" s="2">
        <v>280.29000000000002</v>
      </c>
      <c r="I3" s="2">
        <f>H3*F3</f>
        <v>332984.52</v>
      </c>
      <c r="J3" s="2">
        <f>G3-I3</f>
        <v>100635.47999999998</v>
      </c>
      <c r="K3" s="3">
        <f>J3/G3</f>
        <v>0.23208219178082187</v>
      </c>
    </row>
    <row r="4" spans="1:11" s="2" customFormat="1" x14ac:dyDescent="0.35">
      <c r="A4" s="2" t="s">
        <v>11</v>
      </c>
      <c r="B4" s="2" t="s">
        <v>9</v>
      </c>
      <c r="C4" s="2">
        <v>1200</v>
      </c>
      <c r="D4" s="2">
        <v>333</v>
      </c>
      <c r="E4" s="2">
        <f>C4*D4</f>
        <v>399600</v>
      </c>
      <c r="F4" s="2">
        <v>1200</v>
      </c>
      <c r="G4" s="2">
        <f>F4*D4</f>
        <v>399600</v>
      </c>
      <c r="H4" s="2">
        <v>242.3</v>
      </c>
      <c r="I4" s="2">
        <f>H4*F4</f>
        <v>290760</v>
      </c>
      <c r="J4" s="2">
        <f>G4-I4</f>
        <v>108840</v>
      </c>
      <c r="K4" s="3">
        <f>J4/G4</f>
        <v>0.27237237237237238</v>
      </c>
    </row>
    <row r="5" spans="1:11" s="2" customFormat="1" x14ac:dyDescent="0.35">
      <c r="A5" s="2" t="s">
        <v>12</v>
      </c>
      <c r="B5" s="2" t="s">
        <v>13</v>
      </c>
      <c r="C5" s="2">
        <v>1740</v>
      </c>
      <c r="D5" s="2">
        <v>320</v>
      </c>
      <c r="E5" s="2">
        <f>C5*D5</f>
        <v>556800</v>
      </c>
      <c r="F5" s="2">
        <v>1740</v>
      </c>
      <c r="G5" s="2">
        <f>F5*D5</f>
        <v>556800</v>
      </c>
      <c r="H5" s="2">
        <v>237.08</v>
      </c>
      <c r="I5" s="2">
        <f>H5*F5</f>
        <v>412519.2</v>
      </c>
      <c r="J5" s="2">
        <f>G5-I5</f>
        <v>144280.79999999999</v>
      </c>
      <c r="K5" s="3">
        <f>J5/G5</f>
        <v>0.25912499999999999</v>
      </c>
    </row>
    <row r="6" spans="1:11" s="5" customFormat="1" x14ac:dyDescent="0.35">
      <c r="A6" s="4" t="s">
        <v>18</v>
      </c>
      <c r="B6" s="4" t="s">
        <v>19</v>
      </c>
      <c r="C6" s="4">
        <v>1888</v>
      </c>
      <c r="D6" s="5">
        <v>360.27</v>
      </c>
      <c r="E6" s="2">
        <f>C6*D6</f>
        <v>680189.76</v>
      </c>
      <c r="F6" s="4">
        <v>1876</v>
      </c>
      <c r="G6" s="2">
        <f>F6*D6</f>
        <v>675866.52</v>
      </c>
      <c r="H6" s="5">
        <v>285.66000000000003</v>
      </c>
      <c r="I6" s="5">
        <f>H6*F6</f>
        <v>535898.16</v>
      </c>
      <c r="J6" s="5">
        <f>G6-I6</f>
        <v>139968.35999999999</v>
      </c>
      <c r="K6" s="3">
        <f>J6/G6</f>
        <v>0.2070946789907569</v>
      </c>
    </row>
    <row r="7" spans="1:11" s="5" customFormat="1" x14ac:dyDescent="0.35">
      <c r="A7" s="4" t="s">
        <v>20</v>
      </c>
      <c r="B7" s="4" t="s">
        <v>3</v>
      </c>
      <c r="C7" s="4">
        <v>1229</v>
      </c>
      <c r="D7" s="5">
        <v>580.52</v>
      </c>
      <c r="E7" s="2">
        <f>C7*D7</f>
        <v>713459.08</v>
      </c>
      <c r="F7" s="4">
        <v>1229</v>
      </c>
      <c r="G7" s="2">
        <f>F7*D7</f>
        <v>713459.08</v>
      </c>
      <c r="H7" s="5">
        <v>467.78</v>
      </c>
      <c r="I7" s="5">
        <f>H7*F7</f>
        <v>574901.62</v>
      </c>
      <c r="J7" s="5">
        <f>G7-I7</f>
        <v>138557.45999999996</v>
      </c>
      <c r="K7" s="3">
        <f>J7/G7</f>
        <v>0.19420519534210703</v>
      </c>
    </row>
    <row r="8" spans="1:11" s="5" customFormat="1" x14ac:dyDescent="0.35">
      <c r="A8" s="4" t="s">
        <v>21</v>
      </c>
      <c r="B8" s="4" t="s">
        <v>19</v>
      </c>
      <c r="C8" s="4">
        <v>1644</v>
      </c>
      <c r="D8" s="5">
        <v>352.69</v>
      </c>
      <c r="E8" s="2">
        <f>C8*D8</f>
        <v>579822.36</v>
      </c>
      <c r="F8" s="4">
        <v>1644</v>
      </c>
      <c r="G8" s="2">
        <f>F8*D8</f>
        <v>579822.36</v>
      </c>
      <c r="H8" s="5">
        <v>264.27</v>
      </c>
      <c r="I8" s="5">
        <f>H8*F8</f>
        <v>434459.87999999995</v>
      </c>
      <c r="J8" s="5">
        <f>G8-I8</f>
        <v>145362.48000000004</v>
      </c>
      <c r="K8" s="3">
        <f>J8/G8</f>
        <v>0.25070174941166473</v>
      </c>
    </row>
    <row r="9" spans="1:11" s="5" customFormat="1" x14ac:dyDescent="0.35">
      <c r="A9" s="4" t="s">
        <v>22</v>
      </c>
      <c r="B9" s="4" t="s">
        <v>23</v>
      </c>
      <c r="C9" s="4">
        <v>2201</v>
      </c>
      <c r="D9" s="5">
        <v>288.38</v>
      </c>
      <c r="E9" s="2">
        <f>C9*D9</f>
        <v>634724.38</v>
      </c>
      <c r="F9" s="4">
        <v>2201</v>
      </c>
      <c r="G9" s="2">
        <f>F9*D9</f>
        <v>634724.38</v>
      </c>
      <c r="H9" s="5">
        <v>213.94</v>
      </c>
      <c r="I9" s="5">
        <f>H9*F9</f>
        <v>470881.94</v>
      </c>
      <c r="J9" s="5">
        <f>G9-I9</f>
        <v>163842.44</v>
      </c>
      <c r="K9" s="3">
        <f>J9/G9</f>
        <v>0.25813163187460991</v>
      </c>
    </row>
    <row r="10" spans="1:11" s="5" customFormat="1" x14ac:dyDescent="0.35">
      <c r="A10" s="4" t="s">
        <v>24</v>
      </c>
      <c r="B10" s="4" t="s">
        <v>25</v>
      </c>
      <c r="C10" s="4">
        <v>1218</v>
      </c>
      <c r="D10" s="5">
        <v>335.72</v>
      </c>
      <c r="E10" s="2">
        <f>C10*D10</f>
        <v>408906.96</v>
      </c>
      <c r="F10" s="4">
        <v>1218</v>
      </c>
      <c r="G10" s="2">
        <f>F10*D10</f>
        <v>408906.96</v>
      </c>
      <c r="H10" s="5">
        <v>273.18</v>
      </c>
      <c r="I10" s="5">
        <f>H10*F10</f>
        <v>332733.24</v>
      </c>
      <c r="J10" s="5">
        <f>G10-I10</f>
        <v>76173.72000000003</v>
      </c>
      <c r="K10" s="3">
        <f>J10/G10</f>
        <v>0.18628619087334691</v>
      </c>
    </row>
    <row r="11" spans="1:11" s="5" customFormat="1" x14ac:dyDescent="0.35">
      <c r="A11" s="4" t="s">
        <v>26</v>
      </c>
      <c r="B11" s="4" t="s">
        <v>3</v>
      </c>
      <c r="C11" s="4">
        <v>2201</v>
      </c>
      <c r="D11" s="5">
        <v>288.38</v>
      </c>
      <c r="E11" s="2">
        <f>C11*D11</f>
        <v>634724.38</v>
      </c>
      <c r="F11" s="4">
        <v>2201</v>
      </c>
      <c r="G11" s="2">
        <f>F11*D11</f>
        <v>634724.38</v>
      </c>
      <c r="H11" s="5">
        <v>213.94</v>
      </c>
      <c r="I11" s="5">
        <f>H11*F11</f>
        <v>470881.94</v>
      </c>
      <c r="J11" s="5">
        <f>G11-I11</f>
        <v>163842.44</v>
      </c>
      <c r="K11" s="3">
        <f>J11/G11</f>
        <v>0.25813163187460991</v>
      </c>
    </row>
    <row r="12" spans="1:11" s="5" customFormat="1" x14ac:dyDescent="0.35">
      <c r="A12" s="4" t="s">
        <v>27</v>
      </c>
      <c r="B12" s="4" t="s">
        <v>25</v>
      </c>
      <c r="C12" s="4">
        <v>1215</v>
      </c>
      <c r="D12" s="5">
        <v>280.3</v>
      </c>
      <c r="E12" s="2">
        <f>C12*D12</f>
        <v>340564.5</v>
      </c>
      <c r="F12" s="4">
        <v>1185</v>
      </c>
      <c r="G12" s="2">
        <f>F12*D12</f>
        <v>332155.5</v>
      </c>
      <c r="H12" s="5">
        <v>196.59</v>
      </c>
      <c r="I12" s="2">
        <f>H12*F12</f>
        <v>232959.15</v>
      </c>
      <c r="J12" s="2">
        <f>G12-I12</f>
        <v>99196.35</v>
      </c>
      <c r="K12" s="3">
        <f>J12/G12</f>
        <v>0.29864430966821265</v>
      </c>
    </row>
    <row r="13" spans="1:11" s="5" customFormat="1" x14ac:dyDescent="0.35">
      <c r="A13" s="4" t="s">
        <v>28</v>
      </c>
      <c r="B13" s="4" t="s">
        <v>29</v>
      </c>
      <c r="C13" s="4">
        <v>1799</v>
      </c>
      <c r="D13" s="5">
        <v>340.77</v>
      </c>
      <c r="E13" s="2">
        <f>C13*D13</f>
        <v>613045.23</v>
      </c>
      <c r="F13" s="4">
        <v>1760</v>
      </c>
      <c r="G13" s="2">
        <f>F13*D13</f>
        <v>599755.19999999995</v>
      </c>
      <c r="H13" s="5">
        <v>280.69</v>
      </c>
      <c r="I13" s="5">
        <f>H13*F13</f>
        <v>494014.4</v>
      </c>
      <c r="J13" s="5">
        <f>G13-I13</f>
        <v>105740.79999999993</v>
      </c>
      <c r="K13" s="3">
        <f>J13/G13</f>
        <v>0.17630659975936838</v>
      </c>
    </row>
    <row r="14" spans="1:11" s="5" customFormat="1" x14ac:dyDescent="0.35">
      <c r="A14" s="4" t="s">
        <v>30</v>
      </c>
      <c r="B14" s="4" t="s">
        <v>29</v>
      </c>
      <c r="C14" s="4">
        <v>1644</v>
      </c>
      <c r="D14" s="5">
        <v>370.7</v>
      </c>
      <c r="E14" s="2">
        <f>C14*D14</f>
        <v>609430.79999999993</v>
      </c>
      <c r="F14" s="4">
        <v>1644</v>
      </c>
      <c r="G14" s="2">
        <f>F14*D14</f>
        <v>609430.79999999993</v>
      </c>
      <c r="H14" s="5">
        <v>289</v>
      </c>
      <c r="I14" s="5">
        <f>H14*F14</f>
        <v>475116</v>
      </c>
      <c r="J14" s="5">
        <f>G14-I14</f>
        <v>134314.79999999993</v>
      </c>
      <c r="K14" s="3">
        <f>J14/G14</f>
        <v>0.22039384947396809</v>
      </c>
    </row>
    <row r="15" spans="1:11" s="5" customFormat="1" x14ac:dyDescent="0.35">
      <c r="A15" s="4" t="s">
        <v>31</v>
      </c>
      <c r="B15" s="4" t="s">
        <v>19</v>
      </c>
      <c r="C15" s="4">
        <v>2000</v>
      </c>
      <c r="D15" s="5">
        <v>226.26</v>
      </c>
      <c r="E15" s="2">
        <f>C15*D15</f>
        <v>452520</v>
      </c>
      <c r="F15" s="4">
        <v>1940</v>
      </c>
      <c r="G15" s="2">
        <f>F15*D15</f>
        <v>438944.39999999997</v>
      </c>
      <c r="H15" s="5">
        <v>194.97</v>
      </c>
      <c r="I15" s="5">
        <f>H15*F15</f>
        <v>378241.8</v>
      </c>
      <c r="J15" s="5">
        <f>G15-I15</f>
        <v>60702.599999999977</v>
      </c>
      <c r="K15" s="3">
        <f>J15/G15</f>
        <v>0.13829223017767167</v>
      </c>
    </row>
    <row r="16" spans="1:11" s="5" customFormat="1" x14ac:dyDescent="0.35">
      <c r="A16" s="4" t="s">
        <v>34</v>
      </c>
      <c r="B16" s="4" t="s">
        <v>19</v>
      </c>
      <c r="C16" s="4">
        <v>2000</v>
      </c>
      <c r="D16" s="5">
        <v>226.6</v>
      </c>
      <c r="E16" s="2">
        <f>C16*D16</f>
        <v>453200</v>
      </c>
      <c r="F16" s="4">
        <v>1994</v>
      </c>
      <c r="G16" s="2">
        <f>F16*D16</f>
        <v>451840.39999999997</v>
      </c>
      <c r="H16" s="5">
        <v>176.27</v>
      </c>
      <c r="I16" s="5">
        <f>H16*F16</f>
        <v>351482.38</v>
      </c>
      <c r="J16" s="5">
        <f>G16-I16</f>
        <v>100358.01999999996</v>
      </c>
      <c r="K16" s="3">
        <f>J16/G16</f>
        <v>0.22210944395410409</v>
      </c>
    </row>
    <row r="17" spans="1:11" s="5" customFormat="1" x14ac:dyDescent="0.35">
      <c r="A17" s="4" t="s">
        <v>35</v>
      </c>
      <c r="B17" s="4" t="s">
        <v>19</v>
      </c>
      <c r="C17" s="4">
        <v>2000</v>
      </c>
      <c r="D17" s="5">
        <v>455</v>
      </c>
      <c r="E17" s="2">
        <f>C17*D17</f>
        <v>910000</v>
      </c>
      <c r="F17" s="4">
        <v>2000</v>
      </c>
      <c r="G17" s="2">
        <f>F17*D17</f>
        <v>910000</v>
      </c>
      <c r="H17" s="5">
        <v>303.97000000000003</v>
      </c>
      <c r="I17" s="5">
        <f>H17*F17</f>
        <v>607940</v>
      </c>
      <c r="J17" s="5">
        <f>G17-I17</f>
        <v>302060</v>
      </c>
      <c r="K17" s="3">
        <f>J17/G17</f>
        <v>0.33193406593406594</v>
      </c>
    </row>
    <row r="18" spans="1:11" x14ac:dyDescent="0.35">
      <c r="A18" s="4" t="s">
        <v>32</v>
      </c>
      <c r="B18" s="4" t="s">
        <v>33</v>
      </c>
      <c r="C18" s="6">
        <v>2199</v>
      </c>
      <c r="D18" s="6">
        <v>226.26</v>
      </c>
      <c r="E18" s="6">
        <f>C18*D18</f>
        <v>497545.74</v>
      </c>
      <c r="F18" s="6">
        <v>2199</v>
      </c>
      <c r="G18" s="6">
        <f>F18*D18</f>
        <v>497545.74</v>
      </c>
      <c r="H18" s="6">
        <v>173.92</v>
      </c>
      <c r="I18" s="6">
        <f>H18*F18</f>
        <v>382450.07999999996</v>
      </c>
      <c r="J18" s="6">
        <f>G18-I18</f>
        <v>115095.66000000003</v>
      </c>
      <c r="K18" s="3">
        <f>J18/G18</f>
        <v>0.23132679218598079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2026-08-03T05:27:04Z</dcterms:created>
  <dcterms:modified xsi:type="dcterms:W3CDTF">2026-09-09T13:43:14Z</dcterms:modified>
</cp:coreProperties>
</file>