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6693F8AC-9FD6-4E3D-AE05-4DA6AB770F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<sst xmlns="http://schemas.openxmlformats.org/spreadsheetml/2006/main" count="294" uniqueCount="119">
  <si>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</si>
  <si>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</si>
  <si>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</si>
  <si>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</si>
  <si>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</si>
  <si>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</si>
  <si>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</si>
  <si>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</si>
  <si>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</si>
  <si>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</si>
  <si>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</si>
  <si>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</si>
  <si>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</si>
  <si>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</si>
  <si>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</si>
  <si>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</si>
  <si>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</si>
  <si>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</si>
  <si>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</si>
  <si>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</si>
  <si>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</si>
  <si>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</si>
  <si>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</si>
  <si>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</si>
  <si>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</si>
  <si>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</si>
  <si>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</si>
  <si>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</si>
  <si>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</si>
  <si>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</si>
  <si>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</si>
  <si>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</si>
  <si>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</si>
  <si>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</si>
  <si>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</si>
  <si>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</si>
  <si>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</si>
  <si>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</si>
  <si>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</si>
  <si>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</si>
  <si>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</si>
  <si>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MOP Buttons 14l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</si>
  <si>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</si>
  <si>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</si>
  <si>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</si>
  <si>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</si>
  <si>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</si>
  <si>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</si>
  <si>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</si>
  <si>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</si>
  <si>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</si>
  <si>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</si>
  <si>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</si>
  <si>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</si>
  <si>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</si>
  <si>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</si>
  <si>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</si>
  <si>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</si>
  <si>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</si>
  <si>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</si>
  <si>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</si>
  <si>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</si>
  <si>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</si>
  <si>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</si>
  <si>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</si>
  <si>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</si>
  <si>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</si>
  <si>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</si>
  <si>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</si>
  <si>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</si>
  <si>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</si>
  <si>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</si>
  <si>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</si>
  <si>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</si>
  <si>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</si>
  <si>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</si>
  <si>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</si>
  <si>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</si>
  <si>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</si>
  <si>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</si>
  <si>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</si>
  <si>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</si>
  <si>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</si>
  <si>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</si>
  <si>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</si>
  <si>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</si>
  <si>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</si>
  <si>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</si>
  <si>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</si>
  <si>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</si>
  <si>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</si>
  <si>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</si>
  <si>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</si>
  <si>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</si>
  <si>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</si>
  <si>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</si>
  <si>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</si>
  <si>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</si>
  <si>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</si>
  <si>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</si>
  <si>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</si>
  <si>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</si>
  <si>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</si>
  <si>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</si>
  <si>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</si>
  <si>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</si>
  <si>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</si>
  <si>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</si>
  <si>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</si>
  <si>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</si>
  <si>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</si>
  <si>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</si>
  <si>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</si>
  <si>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46% Rayon linen, 41% Cotton, 13% Linen</t>
  </si>
  <si>
    <t>YAS26XWEWYF74643</t>
  </si>
  <si>
    <t>4mm elastic</t>
  </si>
  <si>
    <t>wodden button 22L</t>
  </si>
  <si>
    <t>Zipper</t>
  </si>
  <si>
    <t>poly zipper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</si>
</sst>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9" fontId="10" fillId="6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2" fontId="10" fillId="3" borderId="6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2" fontId="5" fillId="7" borderId="7" xfId="0" applyNumberFormat="1" applyFont="1" applyFill="1" applyBorder="1" applyAlignment="1">
      <alignment horizontal="center" vertical="center"/>
    </xf>
    <xf numFmtId="2" fontId="10" fillId="7" borderId="8" xfId="0" applyNumberFormat="1" applyFont="1" applyFill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9" fontId="13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9" fontId="5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43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3" fontId="15" fillId="8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43" fontId="15" fillId="9" borderId="1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43" fontId="15" fillId="10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43" fontId="16" fillId="11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0" fontId="3" fillId="0" borderId="1" xfId="0" applyFont="1" applyBorder="1"/>
    <xf numFmtId="0" fontId="17" fillId="0" borderId="0" xfId="0" applyFont="1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185853</xdr:colOff>
      <xdr:row>12</xdr:row>
      <xdr:rowOff>92927</xdr:rowOff>
    </xdr:from>
    <xdr:to>
      <xdr:col>0</xdr:col>
      <xdr:colOff>2450944</xdr:colOff>
      <xdr:row>25</xdr:row>
      <xdr:rowOff>69928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4E6C2-8F7B-0D54-E8B5-486A0962F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853" y="2323171"/>
          <a:ext cx="2265091" cy="2393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1" zoomScale="82" zoomScaleNormal="82" workbookViewId="0">
      <selection activeCell="G2" sqref="G2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49.570312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114</v>
      </c>
      <c r="B2" s="6"/>
      <c r="C2" s="7" t="s">
        <v>24</v>
      </c>
      <c r="D2" s="8" t="s">
        <v>25</v>
      </c>
      <c r="E2" s="9" t="s">
        <v>113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110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111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112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53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41</v>
      </c>
      <c r="E15" s="8"/>
      <c r="F15" s="8"/>
      <c r="G15" s="10">
        <v>0</v>
      </c>
      <c r="H15" s="8" t="s">
        <v>53</v>
      </c>
      <c r="I15" s="8"/>
      <c r="J15" s="8"/>
      <c r="K15" s="10"/>
      <c r="L15" s="12">
        <f t="shared" si="0"/>
        <v>0</v>
      </c>
      <c r="M15" s="12">
        <f t="shared" si="1"/>
        <v>0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42</v>
      </c>
      <c r="E16" s="8" t="s">
        <v>116</v>
      </c>
      <c r="F16" s="8"/>
      <c r="G16" s="10">
        <v>1</v>
      </c>
      <c r="H16" s="8" t="s">
        <v>53</v>
      </c>
      <c r="I16" s="8"/>
      <c r="J16" s="8"/>
      <c r="K16" s="10">
        <v>1</v>
      </c>
      <c r="L16" s="12">
        <f t="shared" si="0"/>
        <v>1</v>
      </c>
      <c r="M16" s="12">
        <f t="shared" si="1"/>
        <v>1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43</v>
      </c>
      <c r="E17" s="8"/>
      <c r="F17" s="8"/>
      <c r="G17" s="10">
        <v>0</v>
      </c>
      <c r="H17" s="8" t="s">
        <v>53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44</v>
      </c>
      <c r="E18" s="8"/>
      <c r="F18" s="8"/>
      <c r="G18" s="10">
        <v>0</v>
      </c>
      <c r="H18" s="8" t="s">
        <v>53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45</v>
      </c>
      <c r="E19" s="8"/>
      <c r="F19" s="8"/>
      <c r="G19" s="10">
        <v>0</v>
      </c>
      <c r="H19" s="8" t="s">
        <v>53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46</v>
      </c>
      <c r="E20" s="8"/>
      <c r="F20" s="8"/>
      <c r="G20" s="10">
        <v>0</v>
      </c>
      <c r="H20" s="8" t="s">
        <v>53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47</v>
      </c>
      <c r="E21" s="8" t="s">
        <v>115</v>
      </c>
      <c r="F21" s="8"/>
      <c r="G21" s="10"/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48</v>
      </c>
      <c r="E22" s="8"/>
      <c r="F22" s="8"/>
      <c r="G22" s="10">
        <v>0</v>
      </c>
      <c r="H22" s="8" t="s">
        <v>53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117</v>
      </c>
      <c r="E23" s="8" t="s">
        <v>118</v>
      </c>
      <c r="F23" s="8"/>
      <c r="G23" s="10">
        <v>1</v>
      </c>
      <c r="H23" s="8" t="s">
        <v>53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49</v>
      </c>
      <c r="E24" s="8"/>
      <c r="F24" s="8"/>
      <c r="G24" s="10">
        <v>0</v>
      </c>
      <c r="H24" s="8" t="s">
        <v>53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49</v>
      </c>
      <c r="E25" s="8"/>
      <c r="F25" s="8"/>
      <c r="G25" s="10">
        <v>0</v>
      </c>
      <c r="H25" s="8" t="s">
        <v>53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49</v>
      </c>
      <c r="E26" s="8"/>
      <c r="F26" s="8"/>
      <c r="G26" s="10">
        <v>0</v>
      </c>
      <c r="H26" s="8" t="s">
        <v>53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50</v>
      </c>
      <c r="D31" s="8" t="s">
        <v>51</v>
      </c>
      <c r="E31" s="8"/>
      <c r="F31" s="8" t="s">
        <v>52</v>
      </c>
      <c r="G31" s="10">
        <v>1</v>
      </c>
      <c r="H31" s="8" t="s">
        <v>53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50</v>
      </c>
      <c r="D32" s="8" t="s">
        <v>54</v>
      </c>
      <c r="E32" s="8"/>
      <c r="F32" s="8" t="s">
        <v>52</v>
      </c>
      <c r="G32" s="10">
        <v>0</v>
      </c>
      <c r="H32" s="8" t="s">
        <v>53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50</v>
      </c>
      <c r="D33" s="8" t="s">
        <v>55</v>
      </c>
      <c r="E33" s="8"/>
      <c r="F33" s="8" t="s">
        <v>52</v>
      </c>
      <c r="G33" s="10">
        <v>1</v>
      </c>
      <c r="H33" s="8" t="s">
        <v>53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50</v>
      </c>
      <c r="D34" s="8" t="s">
        <v>56</v>
      </c>
      <c r="E34" s="8"/>
      <c r="F34" s="8" t="s">
        <v>39</v>
      </c>
      <c r="G34" s="10">
        <v>1</v>
      </c>
      <c r="H34" s="8" t="s">
        <v>53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50</v>
      </c>
      <c r="D35" s="8" t="s">
        <v>57</v>
      </c>
      <c r="E35" s="8"/>
      <c r="F35" s="8" t="s">
        <v>39</v>
      </c>
      <c r="G35" s="10">
        <v>1</v>
      </c>
      <c r="H35" s="8" t="s">
        <v>53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50</v>
      </c>
      <c r="D36" s="8" t="s">
        <v>58</v>
      </c>
      <c r="E36" s="8"/>
      <c r="F36" s="8" t="s">
        <v>39</v>
      </c>
      <c r="G36" s="10">
        <v>1</v>
      </c>
      <c r="H36" s="8" t="s">
        <v>53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50</v>
      </c>
      <c r="D37" s="8" t="s">
        <v>59</v>
      </c>
      <c r="E37" s="8"/>
      <c r="F37" s="8" t="s">
        <v>39</v>
      </c>
      <c r="G37" s="10">
        <v>1</v>
      </c>
      <c r="H37" s="8" t="s">
        <v>53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50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50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50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50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50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50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60</v>
      </c>
      <c r="D44" s="8" t="s">
        <v>61</v>
      </c>
      <c r="E44" s="8"/>
      <c r="F44" s="8" t="s">
        <v>62</v>
      </c>
      <c r="G44" s="10">
        <v>1</v>
      </c>
      <c r="H44" s="8" t="s">
        <v>53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60</v>
      </c>
      <c r="D45" s="8" t="s">
        <v>63</v>
      </c>
      <c r="E45" s="8"/>
      <c r="F45" s="8" t="s">
        <v>39</v>
      </c>
      <c r="G45" s="10">
        <v>1</v>
      </c>
      <c r="H45" s="8" t="s">
        <v>53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60</v>
      </c>
      <c r="D46" s="8" t="s">
        <v>64</v>
      </c>
      <c r="E46" s="8"/>
      <c r="F46" s="8" t="s">
        <v>62</v>
      </c>
      <c r="G46" s="10">
        <v>1</v>
      </c>
      <c r="H46" s="8" t="s">
        <v>53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60</v>
      </c>
      <c r="D47" s="8" t="s">
        <v>65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60</v>
      </c>
      <c r="D48" s="8" t="s">
        <v>66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60</v>
      </c>
      <c r="D49" s="8" t="s">
        <v>67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60</v>
      </c>
      <c r="D50" s="8" t="s">
        <v>68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60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60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60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69</v>
      </c>
      <c r="D54" s="8" t="s">
        <v>70</v>
      </c>
      <c r="E54" s="8"/>
      <c r="F54" s="8"/>
      <c r="G54" s="10">
        <v>0</v>
      </c>
      <c r="H54" s="8" t="s">
        <v>53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69</v>
      </c>
      <c r="D55" s="8" t="s">
        <v>71</v>
      </c>
      <c r="E55" s="8"/>
      <c r="F55" s="8"/>
      <c r="G55" s="10"/>
      <c r="H55" s="8"/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69</v>
      </c>
      <c r="D56" s="8" t="s">
        <v>72</v>
      </c>
      <c r="E56" s="8"/>
      <c r="F56" s="8"/>
      <c r="G56" s="10">
        <v>0</v>
      </c>
      <c r="H56" s="8" t="s">
        <v>53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69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69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69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69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69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73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74</v>
      </c>
      <c r="F63" s="24"/>
      <c r="G63" s="25"/>
      <c r="H63" s="24"/>
      <c r="I63" s="24"/>
      <c r="J63" s="24"/>
      <c r="K63" s="25"/>
      <c r="L63" s="25">
        <f t="shared" ref="L63:M63" si="3">SUM(L2:L62)</f>
        <v>90.539999999999992</v>
      </c>
      <c r="M63" s="25">
        <f t="shared" si="3"/>
        <v>92.470799999999997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75</v>
      </c>
      <c r="D64" s="8" t="s">
        <v>75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76</v>
      </c>
      <c r="D65" s="8" t="s">
        <v>76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1.8108</v>
      </c>
      <c r="M65" s="12">
        <f t="shared" si="4"/>
        <v>1.8108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77</v>
      </c>
      <c r="D66" s="8" t="s">
        <v>77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10.864799999999999</v>
      </c>
      <c r="M66" s="12">
        <f t="shared" si="4"/>
        <v>10.864799999999999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YAS26XWEWYF74643</v>
      </c>
      <c r="B67" s="24"/>
      <c r="C67" s="24"/>
      <c r="D67" s="24"/>
      <c r="E67" s="24" t="s">
        <v>78</v>
      </c>
      <c r="F67" s="24"/>
      <c r="G67" s="25"/>
      <c r="H67" s="24"/>
      <c r="I67" s="24"/>
      <c r="J67" s="24"/>
      <c r="K67" s="25"/>
      <c r="L67" s="25">
        <f t="shared" ref="L67:M67" si="6">SUM(L63:L66)</f>
        <v>104.71559999999999</v>
      </c>
      <c r="M67" s="25">
        <f t="shared" si="6"/>
        <v>106.9164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79</v>
      </c>
      <c r="J69" s="40"/>
      <c r="K69" s="41"/>
      <c r="L69" s="40">
        <f>L67</f>
        <v>104.71559999999999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80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81</v>
      </c>
      <c r="B74" s="43">
        <v>0.1</v>
      </c>
      <c r="C74" s="19"/>
      <c r="D74" s="19"/>
      <c r="E74" s="19" t="s">
        <v>82</v>
      </c>
      <c r="F74" s="19"/>
      <c r="G74" s="33">
        <f>L69</f>
        <v>104.71559999999999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83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84</v>
      </c>
      <c r="B3" s="45" t="s">
        <v>85</v>
      </c>
      <c r="C3" s="45" t="s">
        <v>86</v>
      </c>
      <c r="D3" s="46" t="s">
        <v>87</v>
      </c>
      <c r="E3" s="46" t="s">
        <v>88</v>
      </c>
      <c r="F3" s="46" t="s">
        <v>89</v>
      </c>
      <c r="G3" s="46" t="s">
        <v>90</v>
      </c>
      <c r="H3" s="46" t="s">
        <v>91</v>
      </c>
      <c r="I3" s="46" t="s">
        <v>73</v>
      </c>
      <c r="J3" s="47" t="s">
        <v>4</v>
      </c>
      <c r="K3" s="48" t="s">
        <v>92</v>
      </c>
      <c r="L3" s="48" t="s">
        <v>93</v>
      </c>
      <c r="M3" s="49" t="s">
        <v>94</v>
      </c>
      <c r="N3" s="50" t="s">
        <v>95</v>
      </c>
      <c r="O3" s="50" t="s">
        <v>96</v>
      </c>
      <c r="P3" s="51" t="s">
        <v>97</v>
      </c>
      <c r="Q3" s="52" t="s">
        <v>98</v>
      </c>
      <c r="R3" s="52" t="s">
        <v>99</v>
      </c>
      <c r="S3" s="53" t="s">
        <v>100</v>
      </c>
      <c r="T3" s="54" t="s">
        <v>101</v>
      </c>
      <c r="U3" s="54" t="s">
        <v>102</v>
      </c>
      <c r="V3" s="47" t="s">
        <v>103</v>
      </c>
      <c r="W3" s="47" t="s">
        <v>104</v>
      </c>
      <c r="X3" s="47" t="s">
        <v>105</v>
      </c>
      <c r="Y3" s="47" t="s">
        <v>35</v>
      </c>
      <c r="Z3" s="47" t="s">
        <v>106</v>
      </c>
      <c r="AA3" s="45" t="s">
        <v>107</v>
      </c>
      <c r="AB3" s="45" t="s">
        <v>108</v>
      </c>
    </row>
    <row r="4" spans="1:28" ht="14.25" customHeight="1" x14ac:dyDescent="0.25">
      <c r="A4" s="55">
        <v>1</v>
      </c>
      <c r="B4" s="55" t="s">
        <v>109</v>
      </c>
      <c r="C4" s="55" t="str">
        <f>'revised format'!A2</f>
        <v>YAS26XWEWYF74643</v>
      </c>
      <c r="D4" s="55"/>
      <c r="E4" s="56">
        <f>'revised format'!L69</f>
        <v>104.71559999999999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46% Rayon linen, 41% Cotton, 13% Linen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2026-05-11T04:49:26Z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