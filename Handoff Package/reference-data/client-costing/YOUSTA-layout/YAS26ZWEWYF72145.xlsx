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171D0291-6061-4123-8EA2-FF5A507CB9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 s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8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<sst xmlns="http://schemas.openxmlformats.org/spreadsheetml/2006/main" count="295" uniqueCount="118">
  <si>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</si>
  <si>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</si>
  <si>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</si>
  <si>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</si>
  <si>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</si>
  <si>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</si>
  <si>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</si>
  <si>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</si>
  <si>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</si>
  <si>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</si>
  <si>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</si>
  <si>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</si>
  <si>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</si>
  <si>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</si>
  <si>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</si>
  <si>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</si>
  <si>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</si>
  <si>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</si>
  <si>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</si>
  <si>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</si>
  <si>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</si>
  <si>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</si>
  <si>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</si>
  <si>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</si>
  <si>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</si>
  <si>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</si>
  <si>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</si>
  <si>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</si>
  <si>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</si>
  <si>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</si>
  <si>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</si>
  <si>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</si>
  <si>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</si>
  <si>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</si>
  <si>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</si>
  <si>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</si>
  <si>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</si>
  <si>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</si>
  <si>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</si>
  <si>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</si>
  <si>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</si>
  <si>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</si>
  <si>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</si>
  <si>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</si>
  <si>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</si>
  <si>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</si>
  <si>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</si>
  <si>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</si>
  <si>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</si>
  <si>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</si>
  <si>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</si>
  <si>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</si>
  <si>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</si>
  <si>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</si>
  <si>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</si>
  <si>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</si>
  <si>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</si>
  <si>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</si>
  <si>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</si>
  <si>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</si>
  <si>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</si>
  <si>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</si>
  <si>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</si>
  <si>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</si>
  <si>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</si>
  <si>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</si>
  <si>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</si>
  <si>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</si>
  <si>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</si>
  <si>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</si>
  <si>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</si>
  <si>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</si>
  <si>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</si>
  <si>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</si>
  <si>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</si>
  <si>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</si>
  <si>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</si>
  <si>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</si>
  <si>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</si>
  <si>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</si>
  <si>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</si>
  <si>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</si>
  <si>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</si>
  <si>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</si>
  <si>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</si>
  <si>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</si>
  <si>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</si>
  <si>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</si>
  <si>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</si>
  <si>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</si>
  <si>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</si>
  <si>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</si>
  <si>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</si>
  <si>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</si>
  <si>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</si>
  <si>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</si>
  <si>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</si>
  <si>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</si>
  <si>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</si>
  <si>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</si>
  <si>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</si>
  <si>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</si>
  <si>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</si>
  <si>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</si>
  <si>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</si>
  <si>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</si>
  <si>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</si>
  <si>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</si>
  <si>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</si>
  <si>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</si>
  <si>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L-</t>
  </si>
  <si>
    <t xml:space="preserve">B0- </t>
  </si>
  <si>
    <t>Zipper</t>
  </si>
  <si>
    <t>MOP Buttons</t>
  </si>
  <si>
    <t>YAS26ZWEWYF72145</t>
  </si>
  <si>
    <t>90% Cotton, 10% Linen</t>
  </si>
  <si>
    <t>DTM zipper</t>
  </si>
  <si>
    <t xml:space="preserve">1.5 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</si>
</sst>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4" fillId="8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3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3" fontId="15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16" fillId="0" borderId="0" xfId="0" applyFont="1"/>
    <xf numFmtId="0" fontId="17" fillId="0" borderId="0" xfId="0" applyFont="1"/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231321</xdr:colOff>
      <xdr:row>13</xdr:row>
      <xdr:rowOff>13606</xdr:rowOff>
    </xdr:from>
    <xdr:to>
      <xdr:col>0</xdr:col>
      <xdr:colOff>2394857</xdr:colOff>
      <xdr:row>25</xdr:row>
      <xdr:rowOff>64189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175620-2233-4F45-8068-CC299276F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1321" y="2490106"/>
          <a:ext cx="2163536" cy="2336583"/>
        </a:xfrm>
        <a:prstGeom prst="rect">
          <a:avLst/>
        </a:prstGeom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3" zoomScale="70" zoomScaleNormal="70" workbookViewId="0">
      <selection activeCell="G55" sqref="G55"/>
    </sheetView>
  </sheetViews>
  <sheetFormatPr defaultColWidth="14.42578125" defaultRowHeight="15" customHeight="1" x14ac:dyDescent="0.25"/>
  <cols>
    <col min="1" max="1" width="40.140625" customWidth="1"/>
    <col min="2" max="2" width="33.7109375" customWidth="1"/>
    <col min="3" max="3" width="24.28515625" customWidth="1"/>
    <col min="4" max="4" width="21.140625" customWidth="1"/>
    <col min="5" max="5" width="37.5703125" customWidth="1"/>
    <col min="6" max="6" width="8.7109375" customWidth="1"/>
    <col min="7" max="7" width="9" customWidth="1"/>
    <col min="8" max="8" width="6.42578125" customWidth="1"/>
    <col min="9" max="9" width="5.7109375" customWidth="1"/>
    <col min="10" max="10" width="6.7109375" customWidth="1"/>
    <col min="11" max="11" width="17.140625" customWidth="1"/>
    <col min="12" max="12" width="14.42578125" customWidth="1"/>
    <col min="13" max="13" width="12.42578125" customWidth="1"/>
    <col min="14" max="14" width="5.28515625" customWidth="1"/>
    <col min="15" max="15" width="12.42578125" customWidth="1"/>
    <col min="16" max="16" width="7.28515625" customWidth="1"/>
    <col min="17" max="21" width="17.42578125" hidden="1" customWidth="1"/>
    <col min="22" max="22" width="17.42578125" customWidth="1"/>
    <col min="23" max="23" width="27.85546875" customWidth="1"/>
    <col min="24" max="24" width="17" customWidth="1"/>
    <col min="25" max="26" width="9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25">
      <c r="A2" s="60" t="s">
        <v>114</v>
      </c>
      <c r="B2" s="6"/>
      <c r="C2" s="7" t="s">
        <v>24</v>
      </c>
      <c r="D2" s="8" t="s">
        <v>25</v>
      </c>
      <c r="E2" s="9" t="s">
        <v>115</v>
      </c>
      <c r="F2" s="8" t="s">
        <v>26</v>
      </c>
      <c r="G2" s="10"/>
      <c r="H2" s="11"/>
      <c r="I2" s="11"/>
      <c r="J2" s="11"/>
      <c r="K2" s="10"/>
      <c r="L2" s="12">
        <f>G2*K2</f>
        <v>0</v>
      </c>
      <c r="M2" s="12">
        <f>L2+O2</f>
        <v>0</v>
      </c>
      <c r="N2" s="13">
        <v>0.05</v>
      </c>
      <c r="O2" s="12">
        <f>L2*N2</f>
        <v>0</v>
      </c>
      <c r="P2" s="8" t="s">
        <v>27</v>
      </c>
      <c r="Q2" s="8"/>
      <c r="R2" s="8"/>
      <c r="S2" s="8"/>
      <c r="T2" s="8"/>
      <c r="U2" s="8"/>
      <c r="V2" s="8" t="s">
        <v>28</v>
      </c>
      <c r="W2" s="8"/>
      <c r="X2" s="8" t="s">
        <v>29</v>
      </c>
      <c r="Y2" s="5"/>
      <c r="Z2" s="5"/>
    </row>
    <row r="3" spans="1:26" ht="15" customHeight="1" x14ac:dyDescent="0.2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/>
      <c r="X3" s="8"/>
      <c r="Y3" s="5"/>
      <c r="Z3" s="5"/>
    </row>
    <row r="4" spans="1:26" ht="15" customHeight="1" x14ac:dyDescent="0.2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2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2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25">
      <c r="A7" s="59" t="s">
        <v>109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2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25">
      <c r="A9" s="15" t="s">
        <v>110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25">
      <c r="A10" s="15" t="s">
        <v>111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2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2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2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3.5</v>
      </c>
      <c r="L13" s="12">
        <f t="shared" si="0"/>
        <v>3.5</v>
      </c>
      <c r="M13" s="12">
        <f t="shared" si="1"/>
        <v>3.92</v>
      </c>
      <c r="N13" s="13">
        <v>0.12</v>
      </c>
      <c r="O13" s="12">
        <f t="shared" si="2"/>
        <v>0.42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25">
      <c r="A14" s="62"/>
      <c r="B14" s="18"/>
      <c r="C14" s="7" t="s">
        <v>37</v>
      </c>
      <c r="D14" s="8" t="s">
        <v>40</v>
      </c>
      <c r="E14" s="8"/>
      <c r="F14" s="8"/>
      <c r="G14" s="10">
        <v>0</v>
      </c>
      <c r="H14" s="8" t="s">
        <v>52</v>
      </c>
      <c r="I14" s="8"/>
      <c r="J14" s="8"/>
      <c r="K14" s="10"/>
      <c r="L14" s="12">
        <f t="shared" si="0"/>
        <v>0</v>
      </c>
      <c r="M14" s="12">
        <f t="shared" si="1"/>
        <v>0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25">
      <c r="A15" s="62"/>
      <c r="C15" s="7" t="s">
        <v>37</v>
      </c>
      <c r="D15" s="8" t="s">
        <v>113</v>
      </c>
      <c r="E15" s="8"/>
      <c r="F15" s="8"/>
      <c r="G15" s="10">
        <v>0</v>
      </c>
      <c r="H15" s="8" t="s">
        <v>52</v>
      </c>
      <c r="I15" s="8"/>
      <c r="J15" s="8"/>
      <c r="K15" s="10"/>
      <c r="L15" s="12">
        <f t="shared" si="0"/>
        <v>0</v>
      </c>
      <c r="M15" s="12">
        <f t="shared" si="1"/>
        <v>0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25">
      <c r="A16" s="62"/>
      <c r="B16" s="18"/>
      <c r="C16" s="7" t="s">
        <v>37</v>
      </c>
      <c r="D16" s="8" t="s">
        <v>41</v>
      </c>
      <c r="E16" s="8"/>
      <c r="F16" s="8"/>
      <c r="G16" s="10">
        <v>0</v>
      </c>
      <c r="H16" s="8" t="s">
        <v>52</v>
      </c>
      <c r="I16" s="8"/>
      <c r="J16" s="8"/>
      <c r="K16" s="10"/>
      <c r="L16" s="12">
        <f t="shared" si="0"/>
        <v>0</v>
      </c>
      <c r="M16" s="12">
        <f t="shared" si="1"/>
        <v>0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25">
      <c r="A17" s="62"/>
      <c r="B17" s="18"/>
      <c r="C17" s="7" t="s">
        <v>37</v>
      </c>
      <c r="D17" s="8" t="s">
        <v>42</v>
      </c>
      <c r="E17" s="8"/>
      <c r="F17" s="8"/>
      <c r="G17" s="10">
        <v>0</v>
      </c>
      <c r="H17" s="8" t="s">
        <v>52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25">
      <c r="A18" s="62"/>
      <c r="C18" s="7" t="s">
        <v>37</v>
      </c>
      <c r="D18" s="8" t="s">
        <v>43</v>
      </c>
      <c r="E18" s="8"/>
      <c r="F18" s="8"/>
      <c r="G18" s="10">
        <v>0</v>
      </c>
      <c r="H18" s="8" t="s">
        <v>52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25">
      <c r="A19" s="62"/>
      <c r="B19" s="18"/>
      <c r="C19" s="7" t="s">
        <v>37</v>
      </c>
      <c r="D19" s="8" t="s">
        <v>44</v>
      </c>
      <c r="E19" s="8"/>
      <c r="F19" s="8"/>
      <c r="G19" s="10">
        <v>0</v>
      </c>
      <c r="H19" s="8" t="s">
        <v>52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25">
      <c r="A20" s="62"/>
      <c r="B20" s="18"/>
      <c r="C20" s="7" t="s">
        <v>37</v>
      </c>
      <c r="D20" s="8" t="s">
        <v>45</v>
      </c>
      <c r="E20" s="8"/>
      <c r="F20" s="8"/>
      <c r="G20" s="10">
        <v>0</v>
      </c>
      <c r="H20" s="8" t="s">
        <v>52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25">
      <c r="A21" s="62"/>
      <c r="B21" s="18"/>
      <c r="C21" s="7" t="s">
        <v>37</v>
      </c>
      <c r="D21" s="8" t="s">
        <v>46</v>
      </c>
      <c r="E21" s="8" t="s">
        <v>117</v>
      </c>
      <c r="F21" s="8"/>
      <c r="G21" s="10">
        <v>0</v>
      </c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25">
      <c r="A22" s="62"/>
      <c r="B22" s="18"/>
      <c r="C22" s="7" t="s">
        <v>37</v>
      </c>
      <c r="D22" s="8" t="s">
        <v>47</v>
      </c>
      <c r="E22" s="8"/>
      <c r="F22" s="8"/>
      <c r="G22" s="10">
        <v>0</v>
      </c>
      <c r="H22" s="8" t="s">
        <v>52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25">
      <c r="A23" s="62"/>
      <c r="B23" s="18"/>
      <c r="C23" s="7" t="s">
        <v>37</v>
      </c>
      <c r="D23" s="8" t="s">
        <v>112</v>
      </c>
      <c r="E23" s="8" t="s">
        <v>116</v>
      </c>
      <c r="F23" s="8"/>
      <c r="G23" s="10">
        <v>1</v>
      </c>
      <c r="H23" s="8" t="s">
        <v>52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25">
      <c r="A24" s="62"/>
      <c r="B24" s="18"/>
      <c r="C24" s="7" t="s">
        <v>37</v>
      </c>
      <c r="D24" s="8" t="s">
        <v>48</v>
      </c>
      <c r="E24" s="8"/>
      <c r="F24" s="8"/>
      <c r="G24" s="10">
        <v>0</v>
      </c>
      <c r="H24" s="8" t="s">
        <v>52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25">
      <c r="A25" s="62"/>
      <c r="C25" s="7" t="s">
        <v>37</v>
      </c>
      <c r="D25" s="8" t="s">
        <v>48</v>
      </c>
      <c r="E25" s="8"/>
      <c r="F25" s="8"/>
      <c r="G25" s="10">
        <v>0</v>
      </c>
      <c r="H25" s="8" t="s">
        <v>52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25">
      <c r="A26" s="63"/>
      <c r="B26" s="18"/>
      <c r="C26" s="7" t="s">
        <v>37</v>
      </c>
      <c r="D26" s="8" t="s">
        <v>48</v>
      </c>
      <c r="E26" s="8"/>
      <c r="F26" s="8"/>
      <c r="G26" s="10">
        <v>0</v>
      </c>
      <c r="H26" s="8" t="s">
        <v>52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2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2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2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2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25">
      <c r="A31" s="15"/>
      <c r="B31" s="18"/>
      <c r="C31" s="7" t="s">
        <v>49</v>
      </c>
      <c r="D31" s="8" t="s">
        <v>50</v>
      </c>
      <c r="E31" s="8"/>
      <c r="F31" s="8" t="s">
        <v>51</v>
      </c>
      <c r="G31" s="10">
        <v>1</v>
      </c>
      <c r="H31" s="8" t="s">
        <v>52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25">
      <c r="A32" s="15"/>
      <c r="B32" s="18"/>
      <c r="C32" s="7" t="s">
        <v>49</v>
      </c>
      <c r="D32" s="8" t="s">
        <v>53</v>
      </c>
      <c r="E32" s="8"/>
      <c r="F32" s="8" t="s">
        <v>51</v>
      </c>
      <c r="G32" s="10">
        <v>0</v>
      </c>
      <c r="H32" s="8" t="s">
        <v>52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25">
      <c r="A33" s="15"/>
      <c r="B33" s="18"/>
      <c r="C33" s="7" t="s">
        <v>49</v>
      </c>
      <c r="D33" s="8" t="s">
        <v>54</v>
      </c>
      <c r="E33" s="8"/>
      <c r="F33" s="8" t="s">
        <v>51</v>
      </c>
      <c r="G33" s="10">
        <v>1</v>
      </c>
      <c r="H33" s="8" t="s">
        <v>52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25">
      <c r="A34" s="15"/>
      <c r="B34" s="18"/>
      <c r="C34" s="7" t="s">
        <v>49</v>
      </c>
      <c r="D34" s="8" t="s">
        <v>55</v>
      </c>
      <c r="E34" s="8"/>
      <c r="F34" s="8" t="s">
        <v>39</v>
      </c>
      <c r="G34" s="10">
        <v>1</v>
      </c>
      <c r="H34" s="8" t="s">
        <v>52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25">
      <c r="A35" s="15"/>
      <c r="B35" s="18"/>
      <c r="C35" s="7" t="s">
        <v>49</v>
      </c>
      <c r="D35" s="8" t="s">
        <v>56</v>
      </c>
      <c r="E35" s="8"/>
      <c r="F35" s="8" t="s">
        <v>39</v>
      </c>
      <c r="G35" s="10">
        <v>1</v>
      </c>
      <c r="H35" s="8" t="s">
        <v>52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25">
      <c r="A36" s="15"/>
      <c r="B36" s="18"/>
      <c r="C36" s="7" t="s">
        <v>49</v>
      </c>
      <c r="D36" s="8" t="s">
        <v>57</v>
      </c>
      <c r="E36" s="8"/>
      <c r="F36" s="8" t="s">
        <v>39</v>
      </c>
      <c r="G36" s="10">
        <v>1</v>
      </c>
      <c r="H36" s="8" t="s">
        <v>52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25">
      <c r="A37" s="15"/>
      <c r="B37" s="18"/>
      <c r="C37" s="7" t="s">
        <v>49</v>
      </c>
      <c r="D37" s="8" t="s">
        <v>58</v>
      </c>
      <c r="E37" s="8"/>
      <c r="F37" s="8" t="s">
        <v>39</v>
      </c>
      <c r="G37" s="10">
        <v>1</v>
      </c>
      <c r="H37" s="8" t="s">
        <v>52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25">
      <c r="A38" s="15"/>
      <c r="B38" s="18"/>
      <c r="C38" s="7" t="s">
        <v>49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25">
      <c r="A39" s="15"/>
      <c r="B39" s="18"/>
      <c r="C39" s="7" t="s">
        <v>49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25">
      <c r="A40" s="15"/>
      <c r="B40" s="18"/>
      <c r="C40" s="7" t="s">
        <v>49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25">
      <c r="A41" s="15"/>
      <c r="B41" s="18"/>
      <c r="C41" s="7" t="s">
        <v>49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25">
      <c r="A42" s="15"/>
      <c r="B42" s="18"/>
      <c r="C42" s="7" t="s">
        <v>49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25">
      <c r="A43" s="15"/>
      <c r="B43" s="18"/>
      <c r="C43" s="7" t="s">
        <v>49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25">
      <c r="A44" s="15"/>
      <c r="B44" s="18"/>
      <c r="C44" s="7" t="s">
        <v>59</v>
      </c>
      <c r="D44" s="8" t="s">
        <v>60</v>
      </c>
      <c r="E44" s="8"/>
      <c r="F44" s="8" t="s">
        <v>61</v>
      </c>
      <c r="G44" s="10">
        <v>1</v>
      </c>
      <c r="H44" s="8" t="s">
        <v>52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25">
      <c r="A45" s="15"/>
      <c r="B45" s="18"/>
      <c r="C45" s="7" t="s">
        <v>59</v>
      </c>
      <c r="D45" s="8" t="s">
        <v>62</v>
      </c>
      <c r="E45" s="8"/>
      <c r="F45" s="8" t="s">
        <v>39</v>
      </c>
      <c r="G45" s="10">
        <v>1</v>
      </c>
      <c r="H45" s="8" t="s">
        <v>52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25">
      <c r="A46" s="15"/>
      <c r="B46" s="18"/>
      <c r="C46" s="7" t="s">
        <v>59</v>
      </c>
      <c r="D46" s="8" t="s">
        <v>63</v>
      </c>
      <c r="E46" s="8"/>
      <c r="F46" s="8" t="s">
        <v>61</v>
      </c>
      <c r="G46" s="10">
        <v>1</v>
      </c>
      <c r="H46" s="8" t="s">
        <v>52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25">
      <c r="A47" s="15"/>
      <c r="B47" s="18"/>
      <c r="C47" s="7" t="s">
        <v>59</v>
      </c>
      <c r="D47" s="8" t="s">
        <v>64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25">
      <c r="A48" s="15"/>
      <c r="B48" s="18"/>
      <c r="C48" s="7" t="s">
        <v>59</v>
      </c>
      <c r="D48" s="8" t="s">
        <v>65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25">
      <c r="A49" s="15"/>
      <c r="B49" s="18"/>
      <c r="C49" s="7" t="s">
        <v>59</v>
      </c>
      <c r="D49" s="8" t="s">
        <v>66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25">
      <c r="A50" s="15"/>
      <c r="B50" s="18"/>
      <c r="C50" s="7" t="s">
        <v>59</v>
      </c>
      <c r="D50" s="8" t="s">
        <v>67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25">
      <c r="A51" s="15"/>
      <c r="B51" s="18"/>
      <c r="C51" s="7" t="s">
        <v>59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25">
      <c r="A52" s="15"/>
      <c r="B52" s="18"/>
      <c r="C52" s="7" t="s">
        <v>59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25">
      <c r="A53" s="15"/>
      <c r="B53" s="18"/>
      <c r="C53" s="7" t="s">
        <v>59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25">
      <c r="A54" s="15"/>
      <c r="B54" s="18"/>
      <c r="C54" s="8" t="s">
        <v>68</v>
      </c>
      <c r="D54" s="8" t="s">
        <v>69</v>
      </c>
      <c r="E54" s="9"/>
      <c r="F54" s="8"/>
      <c r="G54" s="10">
        <v>0</v>
      </c>
      <c r="H54" s="8" t="s">
        <v>52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25">
      <c r="A55" s="15"/>
      <c r="B55" s="18"/>
      <c r="C55" s="8" t="s">
        <v>68</v>
      </c>
      <c r="D55" s="8" t="s">
        <v>70</v>
      </c>
      <c r="E55" s="9" t="s">
        <v>115</v>
      </c>
      <c r="F55" s="8"/>
      <c r="G55" s="10">
        <v>0</v>
      </c>
      <c r="H55" s="8" t="s">
        <v>52</v>
      </c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25">
      <c r="A56" s="15"/>
      <c r="B56" s="18"/>
      <c r="C56" s="8" t="s">
        <v>68</v>
      </c>
      <c r="D56" s="8" t="s">
        <v>71</v>
      </c>
      <c r="E56" s="8"/>
      <c r="F56" s="8"/>
      <c r="G56" s="10">
        <v>0</v>
      </c>
      <c r="H56" s="8" t="s">
        <v>52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25">
      <c r="A57" s="15"/>
      <c r="B57" s="18"/>
      <c r="C57" s="8" t="s">
        <v>68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25">
      <c r="A58" s="15"/>
      <c r="B58" s="18"/>
      <c r="C58" s="8" t="s">
        <v>68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25">
      <c r="A59" s="15"/>
      <c r="B59" s="18"/>
      <c r="C59" s="8" t="s">
        <v>68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25">
      <c r="A60" s="15"/>
      <c r="B60" s="18"/>
      <c r="C60" s="8" t="s">
        <v>68</v>
      </c>
      <c r="D60" s="19"/>
      <c r="E60" s="8"/>
      <c r="F60" s="8"/>
      <c r="G60" s="10"/>
      <c r="H60" s="8"/>
      <c r="I60" s="8"/>
      <c r="J60" s="8"/>
      <c r="K60" s="10">
        <v>52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25">
      <c r="A61" s="15"/>
      <c r="B61" s="18"/>
      <c r="C61" s="8" t="s">
        <v>68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25">
      <c r="A62" s="15"/>
      <c r="B62" s="18"/>
      <c r="C62" s="20" t="s">
        <v>72</v>
      </c>
      <c r="D62" s="8"/>
      <c r="E62" s="20"/>
      <c r="F62" s="8"/>
      <c r="G62" s="10"/>
      <c r="H62" s="8"/>
      <c r="I62" s="8"/>
      <c r="J62" s="8"/>
      <c r="K62" s="10">
        <v>75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25">
      <c r="A63" s="22"/>
      <c r="B63" s="23"/>
      <c r="C63" s="23"/>
      <c r="D63" s="24"/>
      <c r="E63" s="24" t="s">
        <v>73</v>
      </c>
      <c r="F63" s="24"/>
      <c r="G63" s="25"/>
      <c r="H63" s="24"/>
      <c r="I63" s="24"/>
      <c r="J63" s="24"/>
      <c r="K63" s="25"/>
      <c r="L63" s="25">
        <f t="shared" ref="L63:M63" si="3">SUM(L2:L62)</f>
        <v>89.539999999999992</v>
      </c>
      <c r="M63" s="25">
        <f t="shared" si="3"/>
        <v>91.470799999999997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25">
      <c r="A64" s="15"/>
      <c r="B64" s="18"/>
      <c r="C64" s="8" t="s">
        <v>74</v>
      </c>
      <c r="D64" s="8" t="s">
        <v>74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25">
      <c r="A65" s="15"/>
      <c r="B65" s="18"/>
      <c r="C65" s="8" t="s">
        <v>75</v>
      </c>
      <c r="D65" s="8" t="s">
        <v>75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1.7907999999999999</v>
      </c>
      <c r="M65" s="12">
        <f t="shared" si="4"/>
        <v>1.7907999999999999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25">
      <c r="A66" s="15"/>
      <c r="B66" s="18"/>
      <c r="C66" s="8" t="s">
        <v>76</v>
      </c>
      <c r="D66" s="8" t="s">
        <v>76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10.744799999999998</v>
      </c>
      <c r="M66" s="12">
        <f t="shared" si="4"/>
        <v>10.744799999999998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25">
      <c r="A67" s="22" t="str">
        <f>A2</f>
        <v>YAS26ZWEWYF72145</v>
      </c>
      <c r="B67" s="24"/>
      <c r="C67" s="24"/>
      <c r="D67" s="24"/>
      <c r="E67" s="24" t="s">
        <v>77</v>
      </c>
      <c r="F67" s="24"/>
      <c r="G67" s="25"/>
      <c r="H67" s="24"/>
      <c r="I67" s="24"/>
      <c r="J67" s="24"/>
      <c r="K67" s="25"/>
      <c r="L67" s="25">
        <f t="shared" ref="L67:M67" si="6">SUM(L63:L66)</f>
        <v>103.57559999999999</v>
      </c>
      <c r="M67" s="25">
        <f t="shared" si="6"/>
        <v>105.7764</v>
      </c>
      <c r="N67" s="26"/>
      <c r="O67" s="30">
        <f>SUM(O2:O66)</f>
        <v>2.2008000000000001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2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25">
      <c r="A69" s="32"/>
      <c r="B69" s="19"/>
      <c r="C69" s="19"/>
      <c r="D69" s="19"/>
      <c r="E69" s="19"/>
      <c r="F69" s="38"/>
      <c r="G69" s="39"/>
      <c r="H69" s="38"/>
      <c r="I69" s="40" t="s">
        <v>78</v>
      </c>
      <c r="J69" s="40"/>
      <c r="K69" s="41"/>
      <c r="L69" s="40">
        <f>L67</f>
        <v>103.57559999999999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2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2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2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25">
      <c r="A73" s="16" t="s">
        <v>79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25">
      <c r="A74" s="16" t="s">
        <v>80</v>
      </c>
      <c r="B74" s="43">
        <v>0.1</v>
      </c>
      <c r="C74" s="19"/>
      <c r="D74" s="19"/>
      <c r="E74" s="19" t="s">
        <v>81</v>
      </c>
      <c r="F74" s="19"/>
      <c r="G74" s="33">
        <f>L69</f>
        <v>103.57559999999999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25">
      <c r="A75" s="16" t="s">
        <v>82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75" x14ac:dyDescent="0.2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75" x14ac:dyDescent="0.2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75" x14ac:dyDescent="0.2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75" x14ac:dyDescent="0.2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75" x14ac:dyDescent="0.2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75" x14ac:dyDescent="0.2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75" x14ac:dyDescent="0.2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75" x14ac:dyDescent="0.2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75" x14ac:dyDescent="0.2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75" x14ac:dyDescent="0.2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75" x14ac:dyDescent="0.2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75" x14ac:dyDescent="0.2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75" x14ac:dyDescent="0.2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75" x14ac:dyDescent="0.2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75" x14ac:dyDescent="0.2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75" x14ac:dyDescent="0.2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75" x14ac:dyDescent="0.2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75" x14ac:dyDescent="0.2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75" x14ac:dyDescent="0.2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75" x14ac:dyDescent="0.2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75" x14ac:dyDescent="0.2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75" x14ac:dyDescent="0.2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75" x14ac:dyDescent="0.2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75" x14ac:dyDescent="0.2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75" x14ac:dyDescent="0.2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75" x14ac:dyDescent="0.2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75" x14ac:dyDescent="0.2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75" x14ac:dyDescent="0.2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75" x14ac:dyDescent="0.2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75" x14ac:dyDescent="0.2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75" x14ac:dyDescent="0.2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75" x14ac:dyDescent="0.2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75" x14ac:dyDescent="0.2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75" x14ac:dyDescent="0.2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75" x14ac:dyDescent="0.2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75" x14ac:dyDescent="0.2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75" x14ac:dyDescent="0.2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75" x14ac:dyDescent="0.2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75" x14ac:dyDescent="0.2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75" x14ac:dyDescent="0.2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75" x14ac:dyDescent="0.2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75" x14ac:dyDescent="0.2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75" x14ac:dyDescent="0.2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75" x14ac:dyDescent="0.2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75" x14ac:dyDescent="0.2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75" x14ac:dyDescent="0.2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75" x14ac:dyDescent="0.2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75" x14ac:dyDescent="0.2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75" x14ac:dyDescent="0.2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75" x14ac:dyDescent="0.2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75" x14ac:dyDescent="0.2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75" x14ac:dyDescent="0.2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75" x14ac:dyDescent="0.2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75" x14ac:dyDescent="0.2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75" x14ac:dyDescent="0.2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75" x14ac:dyDescent="0.2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75" x14ac:dyDescent="0.2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75" x14ac:dyDescent="0.2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75" x14ac:dyDescent="0.2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75" x14ac:dyDescent="0.2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75" x14ac:dyDescent="0.2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75" x14ac:dyDescent="0.2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75" x14ac:dyDescent="0.2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75" x14ac:dyDescent="0.2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75" x14ac:dyDescent="0.2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75" x14ac:dyDescent="0.2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75" x14ac:dyDescent="0.2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75" x14ac:dyDescent="0.2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75" x14ac:dyDescent="0.2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75" x14ac:dyDescent="0.2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75" x14ac:dyDescent="0.2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75" x14ac:dyDescent="0.2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75" x14ac:dyDescent="0.2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75" x14ac:dyDescent="0.2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75" x14ac:dyDescent="0.2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75" x14ac:dyDescent="0.2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75" x14ac:dyDescent="0.2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75" x14ac:dyDescent="0.2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75" x14ac:dyDescent="0.2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75" x14ac:dyDescent="0.2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75" x14ac:dyDescent="0.2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75" x14ac:dyDescent="0.2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75" x14ac:dyDescent="0.2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75" x14ac:dyDescent="0.2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75" x14ac:dyDescent="0.2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75" x14ac:dyDescent="0.2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75" x14ac:dyDescent="0.2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75" x14ac:dyDescent="0.2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75" x14ac:dyDescent="0.2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75" x14ac:dyDescent="0.2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75" x14ac:dyDescent="0.2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75" x14ac:dyDescent="0.2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75" x14ac:dyDescent="0.2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75" x14ac:dyDescent="0.2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75" x14ac:dyDescent="0.2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75" x14ac:dyDescent="0.2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75" x14ac:dyDescent="0.2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75" x14ac:dyDescent="0.2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75" x14ac:dyDescent="0.2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75" x14ac:dyDescent="0.2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75" x14ac:dyDescent="0.2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75" x14ac:dyDescent="0.2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75" x14ac:dyDescent="0.2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75" x14ac:dyDescent="0.2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75" x14ac:dyDescent="0.2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75" x14ac:dyDescent="0.2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75" x14ac:dyDescent="0.2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75" x14ac:dyDescent="0.2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75" x14ac:dyDescent="0.2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75" x14ac:dyDescent="0.2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75" x14ac:dyDescent="0.2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75" x14ac:dyDescent="0.2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75" x14ac:dyDescent="0.2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75" x14ac:dyDescent="0.2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75" x14ac:dyDescent="0.2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75" x14ac:dyDescent="0.2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75" x14ac:dyDescent="0.2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75" x14ac:dyDescent="0.2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75" x14ac:dyDescent="0.2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75" x14ac:dyDescent="0.2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75" x14ac:dyDescent="0.2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75" x14ac:dyDescent="0.2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75" x14ac:dyDescent="0.2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75" x14ac:dyDescent="0.2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75" x14ac:dyDescent="0.2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75" x14ac:dyDescent="0.2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75" x14ac:dyDescent="0.2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75" x14ac:dyDescent="0.2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75" x14ac:dyDescent="0.2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75" x14ac:dyDescent="0.2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75" x14ac:dyDescent="0.2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75" x14ac:dyDescent="0.2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75" x14ac:dyDescent="0.2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75" x14ac:dyDescent="0.2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75" x14ac:dyDescent="0.2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75" x14ac:dyDescent="0.2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75" x14ac:dyDescent="0.2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75" x14ac:dyDescent="0.2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75" x14ac:dyDescent="0.2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75" x14ac:dyDescent="0.2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75" x14ac:dyDescent="0.2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75" x14ac:dyDescent="0.2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75" x14ac:dyDescent="0.2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75" x14ac:dyDescent="0.2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75" x14ac:dyDescent="0.2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75" x14ac:dyDescent="0.2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75" x14ac:dyDescent="0.2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75" x14ac:dyDescent="0.2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75" x14ac:dyDescent="0.2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75" x14ac:dyDescent="0.2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75" x14ac:dyDescent="0.2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75" x14ac:dyDescent="0.2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75" x14ac:dyDescent="0.2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75" x14ac:dyDescent="0.2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75" x14ac:dyDescent="0.2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75" x14ac:dyDescent="0.2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75" x14ac:dyDescent="0.2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75" x14ac:dyDescent="0.2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75" x14ac:dyDescent="0.2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75" x14ac:dyDescent="0.2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75" x14ac:dyDescent="0.2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75" x14ac:dyDescent="0.2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75" x14ac:dyDescent="0.2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75" x14ac:dyDescent="0.2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75" x14ac:dyDescent="0.2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75" x14ac:dyDescent="0.2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75" x14ac:dyDescent="0.2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75" x14ac:dyDescent="0.2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75" x14ac:dyDescent="0.2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75" x14ac:dyDescent="0.2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75" x14ac:dyDescent="0.2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75" x14ac:dyDescent="0.2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75" x14ac:dyDescent="0.2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75" x14ac:dyDescent="0.2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75" x14ac:dyDescent="0.2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75" x14ac:dyDescent="0.2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75" x14ac:dyDescent="0.2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75" x14ac:dyDescent="0.2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75" x14ac:dyDescent="0.2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75" x14ac:dyDescent="0.2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75" x14ac:dyDescent="0.2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75" x14ac:dyDescent="0.2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75" x14ac:dyDescent="0.2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75" x14ac:dyDescent="0.2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75" x14ac:dyDescent="0.2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75" x14ac:dyDescent="0.2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75" x14ac:dyDescent="0.2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75" x14ac:dyDescent="0.2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75" x14ac:dyDescent="0.2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75" x14ac:dyDescent="0.2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75" x14ac:dyDescent="0.2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75" x14ac:dyDescent="0.2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75" x14ac:dyDescent="0.2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75" x14ac:dyDescent="0.2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75" x14ac:dyDescent="0.2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75" x14ac:dyDescent="0.2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75" x14ac:dyDescent="0.2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75" x14ac:dyDescent="0.2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75" x14ac:dyDescent="0.2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75" x14ac:dyDescent="0.2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75" x14ac:dyDescent="0.2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75" x14ac:dyDescent="0.2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75" x14ac:dyDescent="0.2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75" x14ac:dyDescent="0.2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75" x14ac:dyDescent="0.2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75" x14ac:dyDescent="0.2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75" x14ac:dyDescent="0.2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75" x14ac:dyDescent="0.2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75" x14ac:dyDescent="0.2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75" x14ac:dyDescent="0.2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75" x14ac:dyDescent="0.2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75" x14ac:dyDescent="0.2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75" x14ac:dyDescent="0.2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75" x14ac:dyDescent="0.2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75" x14ac:dyDescent="0.2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75" x14ac:dyDescent="0.2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75" x14ac:dyDescent="0.2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75" x14ac:dyDescent="0.2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75" x14ac:dyDescent="0.2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75" x14ac:dyDescent="0.2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75" x14ac:dyDescent="0.2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75" x14ac:dyDescent="0.2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75" x14ac:dyDescent="0.2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75" x14ac:dyDescent="0.2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75" x14ac:dyDescent="0.2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75" x14ac:dyDescent="0.2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75" x14ac:dyDescent="0.2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75" x14ac:dyDescent="0.2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75" x14ac:dyDescent="0.2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75" x14ac:dyDescent="0.2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75" x14ac:dyDescent="0.2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75" x14ac:dyDescent="0.2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75" x14ac:dyDescent="0.2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75" x14ac:dyDescent="0.2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75" x14ac:dyDescent="0.2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75" x14ac:dyDescent="0.2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75" x14ac:dyDescent="0.2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75" x14ac:dyDescent="0.2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75" x14ac:dyDescent="0.2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75" x14ac:dyDescent="0.2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75" x14ac:dyDescent="0.2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75" x14ac:dyDescent="0.2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75" x14ac:dyDescent="0.2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75" x14ac:dyDescent="0.2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75" x14ac:dyDescent="0.2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75" x14ac:dyDescent="0.2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75" x14ac:dyDescent="0.2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75" x14ac:dyDescent="0.2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75" x14ac:dyDescent="0.2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75" x14ac:dyDescent="0.2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75" x14ac:dyDescent="0.2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75" x14ac:dyDescent="0.2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75" x14ac:dyDescent="0.2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75" x14ac:dyDescent="0.2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75" x14ac:dyDescent="0.2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75" x14ac:dyDescent="0.2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75" x14ac:dyDescent="0.2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75" x14ac:dyDescent="0.2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75" x14ac:dyDescent="0.2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75" x14ac:dyDescent="0.2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75" x14ac:dyDescent="0.2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75" x14ac:dyDescent="0.2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75" x14ac:dyDescent="0.2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75" x14ac:dyDescent="0.2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75" x14ac:dyDescent="0.2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75" x14ac:dyDescent="0.2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75" x14ac:dyDescent="0.2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75" x14ac:dyDescent="0.2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75" x14ac:dyDescent="0.2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75" x14ac:dyDescent="0.2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75" x14ac:dyDescent="0.2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75" x14ac:dyDescent="0.2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75" x14ac:dyDescent="0.2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75" x14ac:dyDescent="0.2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75" x14ac:dyDescent="0.2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75" x14ac:dyDescent="0.2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75" x14ac:dyDescent="0.2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75" x14ac:dyDescent="0.2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75" x14ac:dyDescent="0.2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75" x14ac:dyDescent="0.2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75" x14ac:dyDescent="0.2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75" x14ac:dyDescent="0.2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75" x14ac:dyDescent="0.2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75" x14ac:dyDescent="0.2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75" x14ac:dyDescent="0.2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75" x14ac:dyDescent="0.2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75" x14ac:dyDescent="0.2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75" x14ac:dyDescent="0.2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75" x14ac:dyDescent="0.2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75" x14ac:dyDescent="0.2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75" x14ac:dyDescent="0.2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75" x14ac:dyDescent="0.2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75" x14ac:dyDescent="0.2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75" x14ac:dyDescent="0.2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75" x14ac:dyDescent="0.2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75" x14ac:dyDescent="0.2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75" x14ac:dyDescent="0.2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75" x14ac:dyDescent="0.2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75" x14ac:dyDescent="0.2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75" x14ac:dyDescent="0.2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75" x14ac:dyDescent="0.2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75" x14ac:dyDescent="0.2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75" x14ac:dyDescent="0.2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75" x14ac:dyDescent="0.2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75" x14ac:dyDescent="0.2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75" x14ac:dyDescent="0.2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75" x14ac:dyDescent="0.2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75" x14ac:dyDescent="0.2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75" x14ac:dyDescent="0.2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75" x14ac:dyDescent="0.2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75" x14ac:dyDescent="0.2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75" x14ac:dyDescent="0.2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75" x14ac:dyDescent="0.2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75" x14ac:dyDescent="0.2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75" x14ac:dyDescent="0.2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75" x14ac:dyDescent="0.2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75" x14ac:dyDescent="0.2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75" x14ac:dyDescent="0.2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75" x14ac:dyDescent="0.2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75" x14ac:dyDescent="0.2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75" x14ac:dyDescent="0.2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75" x14ac:dyDescent="0.2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75" x14ac:dyDescent="0.2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75" x14ac:dyDescent="0.2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75" x14ac:dyDescent="0.2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75" x14ac:dyDescent="0.2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75" x14ac:dyDescent="0.2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75" x14ac:dyDescent="0.2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75" x14ac:dyDescent="0.2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75" x14ac:dyDescent="0.2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75" x14ac:dyDescent="0.2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75" x14ac:dyDescent="0.2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75" x14ac:dyDescent="0.2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75" x14ac:dyDescent="0.2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75" x14ac:dyDescent="0.2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75" x14ac:dyDescent="0.2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75" x14ac:dyDescent="0.2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75" x14ac:dyDescent="0.2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75" x14ac:dyDescent="0.2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75" x14ac:dyDescent="0.2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75" x14ac:dyDescent="0.2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75" x14ac:dyDescent="0.2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75" x14ac:dyDescent="0.2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75" x14ac:dyDescent="0.2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75" x14ac:dyDescent="0.2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75" x14ac:dyDescent="0.2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75" x14ac:dyDescent="0.2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75" x14ac:dyDescent="0.2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75" x14ac:dyDescent="0.2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75" x14ac:dyDescent="0.2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75" x14ac:dyDescent="0.2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75" x14ac:dyDescent="0.2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75" x14ac:dyDescent="0.2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75" x14ac:dyDescent="0.2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75" x14ac:dyDescent="0.2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75" x14ac:dyDescent="0.2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75" x14ac:dyDescent="0.2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75" x14ac:dyDescent="0.2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75" x14ac:dyDescent="0.2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75" x14ac:dyDescent="0.2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75" x14ac:dyDescent="0.2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75" x14ac:dyDescent="0.2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75" x14ac:dyDescent="0.2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75" x14ac:dyDescent="0.2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75" x14ac:dyDescent="0.2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75" x14ac:dyDescent="0.2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75" x14ac:dyDescent="0.2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75" x14ac:dyDescent="0.2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75" x14ac:dyDescent="0.2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75" x14ac:dyDescent="0.2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75" x14ac:dyDescent="0.2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75" x14ac:dyDescent="0.2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75" x14ac:dyDescent="0.2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75" x14ac:dyDescent="0.2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75" x14ac:dyDescent="0.2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75" x14ac:dyDescent="0.2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75" x14ac:dyDescent="0.2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75" x14ac:dyDescent="0.2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75" x14ac:dyDescent="0.2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75" x14ac:dyDescent="0.2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75" x14ac:dyDescent="0.2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75" x14ac:dyDescent="0.2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75" x14ac:dyDescent="0.2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75" x14ac:dyDescent="0.2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75" x14ac:dyDescent="0.2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75" x14ac:dyDescent="0.2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75" x14ac:dyDescent="0.2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75" x14ac:dyDescent="0.2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75" x14ac:dyDescent="0.2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75" x14ac:dyDescent="0.2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75" x14ac:dyDescent="0.2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75" x14ac:dyDescent="0.2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75" x14ac:dyDescent="0.2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75" x14ac:dyDescent="0.2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75" x14ac:dyDescent="0.2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75" x14ac:dyDescent="0.2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75" x14ac:dyDescent="0.2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75" x14ac:dyDescent="0.2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75" x14ac:dyDescent="0.2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75" x14ac:dyDescent="0.2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75" x14ac:dyDescent="0.2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75" x14ac:dyDescent="0.2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75" x14ac:dyDescent="0.2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75" x14ac:dyDescent="0.2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75" x14ac:dyDescent="0.2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75" x14ac:dyDescent="0.2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75" x14ac:dyDescent="0.2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75" x14ac:dyDescent="0.2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75" x14ac:dyDescent="0.2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75" x14ac:dyDescent="0.2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75" x14ac:dyDescent="0.2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75" x14ac:dyDescent="0.2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75" x14ac:dyDescent="0.2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75" x14ac:dyDescent="0.2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75" x14ac:dyDescent="0.2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75" x14ac:dyDescent="0.2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75" x14ac:dyDescent="0.2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75" x14ac:dyDescent="0.2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75" x14ac:dyDescent="0.2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75" x14ac:dyDescent="0.2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75" x14ac:dyDescent="0.2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75" x14ac:dyDescent="0.2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75" x14ac:dyDescent="0.2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75" x14ac:dyDescent="0.2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75" x14ac:dyDescent="0.2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75" x14ac:dyDescent="0.2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75" x14ac:dyDescent="0.2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75" x14ac:dyDescent="0.2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75" x14ac:dyDescent="0.2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75" x14ac:dyDescent="0.2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75" x14ac:dyDescent="0.2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75" x14ac:dyDescent="0.2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75" x14ac:dyDescent="0.2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75" x14ac:dyDescent="0.2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75" x14ac:dyDescent="0.2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75" x14ac:dyDescent="0.2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75" x14ac:dyDescent="0.2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75" x14ac:dyDescent="0.2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75" x14ac:dyDescent="0.2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75" x14ac:dyDescent="0.2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75" x14ac:dyDescent="0.2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75" x14ac:dyDescent="0.2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75" x14ac:dyDescent="0.2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75" x14ac:dyDescent="0.2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75" x14ac:dyDescent="0.2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75" x14ac:dyDescent="0.2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75" x14ac:dyDescent="0.2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75" x14ac:dyDescent="0.2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75" x14ac:dyDescent="0.2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75" x14ac:dyDescent="0.2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75" x14ac:dyDescent="0.2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75" x14ac:dyDescent="0.2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75" x14ac:dyDescent="0.2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75" x14ac:dyDescent="0.2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75" x14ac:dyDescent="0.2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75" x14ac:dyDescent="0.2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75" x14ac:dyDescent="0.2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75" x14ac:dyDescent="0.2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75" x14ac:dyDescent="0.2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75" x14ac:dyDescent="0.2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75" x14ac:dyDescent="0.2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75" x14ac:dyDescent="0.2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75" x14ac:dyDescent="0.2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75" x14ac:dyDescent="0.2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75" x14ac:dyDescent="0.2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75" x14ac:dyDescent="0.2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75" x14ac:dyDescent="0.2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75" x14ac:dyDescent="0.2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75" x14ac:dyDescent="0.2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75" x14ac:dyDescent="0.2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75" x14ac:dyDescent="0.2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75" x14ac:dyDescent="0.2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75" x14ac:dyDescent="0.2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75" x14ac:dyDescent="0.2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75" x14ac:dyDescent="0.2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75" x14ac:dyDescent="0.2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75" x14ac:dyDescent="0.2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75" x14ac:dyDescent="0.2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75" x14ac:dyDescent="0.2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75" x14ac:dyDescent="0.2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75" x14ac:dyDescent="0.2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75" x14ac:dyDescent="0.2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75" x14ac:dyDescent="0.2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75" x14ac:dyDescent="0.2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75" x14ac:dyDescent="0.2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75" x14ac:dyDescent="0.2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75" x14ac:dyDescent="0.2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75" x14ac:dyDescent="0.2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75" x14ac:dyDescent="0.2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75" x14ac:dyDescent="0.2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75" x14ac:dyDescent="0.2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75" x14ac:dyDescent="0.2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75" x14ac:dyDescent="0.2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75" x14ac:dyDescent="0.2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75" x14ac:dyDescent="0.2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75" x14ac:dyDescent="0.2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75" x14ac:dyDescent="0.2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75" x14ac:dyDescent="0.2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75" x14ac:dyDescent="0.2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75" x14ac:dyDescent="0.2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75" x14ac:dyDescent="0.2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75" x14ac:dyDescent="0.2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75" x14ac:dyDescent="0.2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75" x14ac:dyDescent="0.2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75" x14ac:dyDescent="0.2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75" x14ac:dyDescent="0.2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75" x14ac:dyDescent="0.2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75" x14ac:dyDescent="0.2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75" x14ac:dyDescent="0.2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75" x14ac:dyDescent="0.2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75" x14ac:dyDescent="0.2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75" x14ac:dyDescent="0.2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75" x14ac:dyDescent="0.2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75" x14ac:dyDescent="0.2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75" x14ac:dyDescent="0.2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75" x14ac:dyDescent="0.2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75" x14ac:dyDescent="0.2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75" x14ac:dyDescent="0.2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75" x14ac:dyDescent="0.2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75" x14ac:dyDescent="0.2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75" x14ac:dyDescent="0.2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75" x14ac:dyDescent="0.2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75" x14ac:dyDescent="0.2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75" x14ac:dyDescent="0.2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75" x14ac:dyDescent="0.2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75" x14ac:dyDescent="0.2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75" x14ac:dyDescent="0.2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75" x14ac:dyDescent="0.2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75" x14ac:dyDescent="0.2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75" x14ac:dyDescent="0.2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75" x14ac:dyDescent="0.2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75" x14ac:dyDescent="0.2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75" x14ac:dyDescent="0.2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75" x14ac:dyDescent="0.2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75" x14ac:dyDescent="0.2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75" x14ac:dyDescent="0.2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75" x14ac:dyDescent="0.2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75" x14ac:dyDescent="0.2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75" x14ac:dyDescent="0.2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75" x14ac:dyDescent="0.2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75" x14ac:dyDescent="0.2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75" x14ac:dyDescent="0.2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75" x14ac:dyDescent="0.2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75" x14ac:dyDescent="0.2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75" x14ac:dyDescent="0.2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75" x14ac:dyDescent="0.2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75" x14ac:dyDescent="0.2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75" x14ac:dyDescent="0.2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75" x14ac:dyDescent="0.2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75" x14ac:dyDescent="0.2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75" x14ac:dyDescent="0.2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75" x14ac:dyDescent="0.2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75" x14ac:dyDescent="0.2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75" x14ac:dyDescent="0.2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75" x14ac:dyDescent="0.2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75" x14ac:dyDescent="0.2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75" x14ac:dyDescent="0.2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75" x14ac:dyDescent="0.2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75" x14ac:dyDescent="0.2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75" x14ac:dyDescent="0.2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75" x14ac:dyDescent="0.2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75" x14ac:dyDescent="0.2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75" x14ac:dyDescent="0.2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75" x14ac:dyDescent="0.2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75" x14ac:dyDescent="0.2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75" x14ac:dyDescent="0.2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75" x14ac:dyDescent="0.2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75" x14ac:dyDescent="0.2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75" x14ac:dyDescent="0.2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75" x14ac:dyDescent="0.2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75" x14ac:dyDescent="0.2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75" x14ac:dyDescent="0.2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75" x14ac:dyDescent="0.2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75" x14ac:dyDescent="0.2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75" x14ac:dyDescent="0.2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75" x14ac:dyDescent="0.2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75" x14ac:dyDescent="0.2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75" x14ac:dyDescent="0.2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75" x14ac:dyDescent="0.2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75" x14ac:dyDescent="0.2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75" x14ac:dyDescent="0.2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75" x14ac:dyDescent="0.2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75" x14ac:dyDescent="0.2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75" x14ac:dyDescent="0.2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75" x14ac:dyDescent="0.2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75" x14ac:dyDescent="0.2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75" x14ac:dyDescent="0.2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75" x14ac:dyDescent="0.2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75" x14ac:dyDescent="0.2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75" x14ac:dyDescent="0.2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75" x14ac:dyDescent="0.2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75" x14ac:dyDescent="0.2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75" x14ac:dyDescent="0.2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75" x14ac:dyDescent="0.2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75" x14ac:dyDescent="0.2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75" x14ac:dyDescent="0.2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75" x14ac:dyDescent="0.2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75" x14ac:dyDescent="0.2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75" x14ac:dyDescent="0.2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75" x14ac:dyDescent="0.2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75" x14ac:dyDescent="0.2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75" x14ac:dyDescent="0.2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75" x14ac:dyDescent="0.2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75" x14ac:dyDescent="0.2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75" x14ac:dyDescent="0.2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75" x14ac:dyDescent="0.2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75" x14ac:dyDescent="0.2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75" x14ac:dyDescent="0.2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75" x14ac:dyDescent="0.2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75" x14ac:dyDescent="0.2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75" x14ac:dyDescent="0.2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75" x14ac:dyDescent="0.2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75" x14ac:dyDescent="0.2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75" x14ac:dyDescent="0.2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75" x14ac:dyDescent="0.2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75" x14ac:dyDescent="0.2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75" x14ac:dyDescent="0.2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75" x14ac:dyDescent="0.2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75" x14ac:dyDescent="0.2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75" x14ac:dyDescent="0.2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75" x14ac:dyDescent="0.2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75" x14ac:dyDescent="0.2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75" x14ac:dyDescent="0.2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75" x14ac:dyDescent="0.2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75" x14ac:dyDescent="0.2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75" x14ac:dyDescent="0.2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75" x14ac:dyDescent="0.2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75" x14ac:dyDescent="0.2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75" x14ac:dyDescent="0.2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75" x14ac:dyDescent="0.2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75" x14ac:dyDescent="0.2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75" x14ac:dyDescent="0.2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75" x14ac:dyDescent="0.2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75" x14ac:dyDescent="0.2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75" x14ac:dyDescent="0.2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75" x14ac:dyDescent="0.2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75" x14ac:dyDescent="0.2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75" x14ac:dyDescent="0.2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75" x14ac:dyDescent="0.2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75" x14ac:dyDescent="0.2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75" x14ac:dyDescent="0.2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75" x14ac:dyDescent="0.2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75" x14ac:dyDescent="0.2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75" x14ac:dyDescent="0.2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75" x14ac:dyDescent="0.2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75" x14ac:dyDescent="0.2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75" x14ac:dyDescent="0.2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75" x14ac:dyDescent="0.2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75" x14ac:dyDescent="0.2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75" x14ac:dyDescent="0.2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75" x14ac:dyDescent="0.2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75" x14ac:dyDescent="0.2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75" x14ac:dyDescent="0.2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75" x14ac:dyDescent="0.2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75" x14ac:dyDescent="0.2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75" x14ac:dyDescent="0.2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75" x14ac:dyDescent="0.2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75" x14ac:dyDescent="0.2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75" x14ac:dyDescent="0.2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75" x14ac:dyDescent="0.2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75" x14ac:dyDescent="0.2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75" x14ac:dyDescent="0.2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75" x14ac:dyDescent="0.2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75" x14ac:dyDescent="0.2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75" x14ac:dyDescent="0.2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75" x14ac:dyDescent="0.2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75" x14ac:dyDescent="0.2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75" x14ac:dyDescent="0.2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75" x14ac:dyDescent="0.2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75" x14ac:dyDescent="0.2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75" x14ac:dyDescent="0.2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75" x14ac:dyDescent="0.2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75" x14ac:dyDescent="0.2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75" x14ac:dyDescent="0.2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75" x14ac:dyDescent="0.2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75" x14ac:dyDescent="0.2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75" x14ac:dyDescent="0.2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75" x14ac:dyDescent="0.2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75" x14ac:dyDescent="0.2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75" x14ac:dyDescent="0.2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75" x14ac:dyDescent="0.2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75" x14ac:dyDescent="0.2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75" x14ac:dyDescent="0.2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75" x14ac:dyDescent="0.2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75" x14ac:dyDescent="0.2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75" x14ac:dyDescent="0.2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75" x14ac:dyDescent="0.2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75" x14ac:dyDescent="0.2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75" x14ac:dyDescent="0.2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75" x14ac:dyDescent="0.2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75" x14ac:dyDescent="0.2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75" x14ac:dyDescent="0.2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75" x14ac:dyDescent="0.2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75" x14ac:dyDescent="0.2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75" x14ac:dyDescent="0.2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75" x14ac:dyDescent="0.2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75" x14ac:dyDescent="0.2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75" x14ac:dyDescent="0.2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75" x14ac:dyDescent="0.2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75" x14ac:dyDescent="0.2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75" x14ac:dyDescent="0.2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75" x14ac:dyDescent="0.2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75" x14ac:dyDescent="0.2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75" x14ac:dyDescent="0.2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75" x14ac:dyDescent="0.2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75" x14ac:dyDescent="0.2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75" x14ac:dyDescent="0.2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75" x14ac:dyDescent="0.2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75" x14ac:dyDescent="0.2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75" x14ac:dyDescent="0.2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75" x14ac:dyDescent="0.2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75" x14ac:dyDescent="0.2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75" x14ac:dyDescent="0.2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75" x14ac:dyDescent="0.2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75" x14ac:dyDescent="0.2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75" x14ac:dyDescent="0.2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75" x14ac:dyDescent="0.2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75" x14ac:dyDescent="0.2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75" x14ac:dyDescent="0.2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75" x14ac:dyDescent="0.2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75" x14ac:dyDescent="0.2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75" x14ac:dyDescent="0.2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75" x14ac:dyDescent="0.2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75" x14ac:dyDescent="0.2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75" x14ac:dyDescent="0.2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75" x14ac:dyDescent="0.2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75" x14ac:dyDescent="0.2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75" x14ac:dyDescent="0.2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75" x14ac:dyDescent="0.2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75" x14ac:dyDescent="0.2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75" x14ac:dyDescent="0.2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75" x14ac:dyDescent="0.2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75" x14ac:dyDescent="0.2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75" x14ac:dyDescent="0.2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75" x14ac:dyDescent="0.2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75" x14ac:dyDescent="0.2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75" x14ac:dyDescent="0.2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75" x14ac:dyDescent="0.2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75" x14ac:dyDescent="0.2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75" x14ac:dyDescent="0.2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75" x14ac:dyDescent="0.2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75" x14ac:dyDescent="0.2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75" x14ac:dyDescent="0.2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75" x14ac:dyDescent="0.2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75" x14ac:dyDescent="0.2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75" x14ac:dyDescent="0.2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75" x14ac:dyDescent="0.2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75" x14ac:dyDescent="0.2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75" x14ac:dyDescent="0.2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75" x14ac:dyDescent="0.2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75" x14ac:dyDescent="0.2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75" x14ac:dyDescent="0.2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75" x14ac:dyDescent="0.2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75" x14ac:dyDescent="0.2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75" x14ac:dyDescent="0.2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75" x14ac:dyDescent="0.2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75" x14ac:dyDescent="0.2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75" x14ac:dyDescent="0.2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75" x14ac:dyDescent="0.2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75" x14ac:dyDescent="0.2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75" x14ac:dyDescent="0.2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75" x14ac:dyDescent="0.2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75" x14ac:dyDescent="0.2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75" x14ac:dyDescent="0.2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75" x14ac:dyDescent="0.2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75" x14ac:dyDescent="0.2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75" x14ac:dyDescent="0.2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75" x14ac:dyDescent="0.2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75" x14ac:dyDescent="0.2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75" x14ac:dyDescent="0.2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75" x14ac:dyDescent="0.2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75" x14ac:dyDescent="0.2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75" x14ac:dyDescent="0.2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75" x14ac:dyDescent="0.2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75" x14ac:dyDescent="0.2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75" x14ac:dyDescent="0.2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75" x14ac:dyDescent="0.2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75" x14ac:dyDescent="0.2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75" x14ac:dyDescent="0.2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75" x14ac:dyDescent="0.2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75" x14ac:dyDescent="0.2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75" x14ac:dyDescent="0.2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75" x14ac:dyDescent="0.2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75" x14ac:dyDescent="0.2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75" x14ac:dyDescent="0.2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75" x14ac:dyDescent="0.2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75" x14ac:dyDescent="0.2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75" x14ac:dyDescent="0.2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75" x14ac:dyDescent="0.2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75" x14ac:dyDescent="0.2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75" x14ac:dyDescent="0.2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75" x14ac:dyDescent="0.2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75" x14ac:dyDescent="0.2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75" x14ac:dyDescent="0.2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75" x14ac:dyDescent="0.2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75" x14ac:dyDescent="0.2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75" x14ac:dyDescent="0.2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75" x14ac:dyDescent="0.2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75" x14ac:dyDescent="0.2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75" x14ac:dyDescent="0.2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75" x14ac:dyDescent="0.2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75" x14ac:dyDescent="0.2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75" x14ac:dyDescent="0.2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75" x14ac:dyDescent="0.2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75" x14ac:dyDescent="0.2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75" x14ac:dyDescent="0.2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75" x14ac:dyDescent="0.2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75" x14ac:dyDescent="0.2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75" x14ac:dyDescent="0.2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75" x14ac:dyDescent="0.2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75" x14ac:dyDescent="0.2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75" x14ac:dyDescent="0.2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75" x14ac:dyDescent="0.2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75" x14ac:dyDescent="0.2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75" x14ac:dyDescent="0.2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75" x14ac:dyDescent="0.2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75" x14ac:dyDescent="0.2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75" x14ac:dyDescent="0.2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75" x14ac:dyDescent="0.2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75" x14ac:dyDescent="0.2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75" x14ac:dyDescent="0.2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75" x14ac:dyDescent="0.2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75" x14ac:dyDescent="0.2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75" x14ac:dyDescent="0.2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75" x14ac:dyDescent="0.2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75" x14ac:dyDescent="0.2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75" x14ac:dyDescent="0.2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75" x14ac:dyDescent="0.2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75" x14ac:dyDescent="0.2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75" x14ac:dyDescent="0.2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75" x14ac:dyDescent="0.2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75" x14ac:dyDescent="0.2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75" x14ac:dyDescent="0.2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75" x14ac:dyDescent="0.2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75" x14ac:dyDescent="0.2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75" x14ac:dyDescent="0.2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75" x14ac:dyDescent="0.2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75" x14ac:dyDescent="0.2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75" x14ac:dyDescent="0.2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75" x14ac:dyDescent="0.2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75" x14ac:dyDescent="0.2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75" x14ac:dyDescent="0.2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75" x14ac:dyDescent="0.2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75" x14ac:dyDescent="0.2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75" x14ac:dyDescent="0.2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75" x14ac:dyDescent="0.2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75" x14ac:dyDescent="0.2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75" x14ac:dyDescent="0.2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75" x14ac:dyDescent="0.2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75" x14ac:dyDescent="0.2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75" x14ac:dyDescent="0.2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75" x14ac:dyDescent="0.2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75" x14ac:dyDescent="0.2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75" x14ac:dyDescent="0.2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75" x14ac:dyDescent="0.2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75" x14ac:dyDescent="0.2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75" x14ac:dyDescent="0.2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75" x14ac:dyDescent="0.2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75" x14ac:dyDescent="0.2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75" x14ac:dyDescent="0.2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75" x14ac:dyDescent="0.2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75" x14ac:dyDescent="0.2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75" x14ac:dyDescent="0.2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75" x14ac:dyDescent="0.2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75" x14ac:dyDescent="0.2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75" x14ac:dyDescent="0.2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75" x14ac:dyDescent="0.2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75" x14ac:dyDescent="0.2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75" x14ac:dyDescent="0.2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75" x14ac:dyDescent="0.2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75" x14ac:dyDescent="0.2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75" x14ac:dyDescent="0.2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75" x14ac:dyDescent="0.2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75" x14ac:dyDescent="0.2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75" x14ac:dyDescent="0.2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75" x14ac:dyDescent="0.2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75" x14ac:dyDescent="0.2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75" x14ac:dyDescent="0.2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75" x14ac:dyDescent="0.2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75" x14ac:dyDescent="0.2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75" x14ac:dyDescent="0.2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75" x14ac:dyDescent="0.2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75" x14ac:dyDescent="0.2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75" x14ac:dyDescent="0.2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75" x14ac:dyDescent="0.2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75" x14ac:dyDescent="0.2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75" x14ac:dyDescent="0.2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75" x14ac:dyDescent="0.2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75" x14ac:dyDescent="0.2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75" x14ac:dyDescent="0.2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75" x14ac:dyDescent="0.2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75" x14ac:dyDescent="0.2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75" x14ac:dyDescent="0.2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75" x14ac:dyDescent="0.2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75" x14ac:dyDescent="0.2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75" x14ac:dyDescent="0.2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75" x14ac:dyDescent="0.2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75" x14ac:dyDescent="0.2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75" x14ac:dyDescent="0.2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75" x14ac:dyDescent="0.2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75" x14ac:dyDescent="0.2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75" x14ac:dyDescent="0.2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75" x14ac:dyDescent="0.2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75" x14ac:dyDescent="0.2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75" x14ac:dyDescent="0.2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75" x14ac:dyDescent="0.2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75" x14ac:dyDescent="0.2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75" x14ac:dyDescent="0.2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75" x14ac:dyDescent="0.2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75" x14ac:dyDescent="0.2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75" x14ac:dyDescent="0.2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75" x14ac:dyDescent="0.2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75" x14ac:dyDescent="0.2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75" x14ac:dyDescent="0.2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75" x14ac:dyDescent="0.2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75" x14ac:dyDescent="0.2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75" x14ac:dyDescent="0.2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75" x14ac:dyDescent="0.2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75" x14ac:dyDescent="0.2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75" x14ac:dyDescent="0.2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75" x14ac:dyDescent="0.2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75" x14ac:dyDescent="0.2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75" x14ac:dyDescent="0.2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75" x14ac:dyDescent="0.2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75" x14ac:dyDescent="0.2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28" customWidth="1"/>
    <col min="4" max="4" width="8.7109375" customWidth="1"/>
    <col min="5" max="5" width="14.140625" customWidth="1"/>
    <col min="6" max="6" width="11.42578125" customWidth="1"/>
    <col min="7" max="9" width="8.7109375" customWidth="1"/>
    <col min="10" max="10" width="53" customWidth="1"/>
    <col min="11" max="12" width="8.7109375" customWidth="1"/>
    <col min="13" max="13" width="53.140625" customWidth="1"/>
    <col min="14" max="23" width="8.7109375" customWidth="1"/>
    <col min="24" max="24" width="25.85546875" customWidth="1"/>
    <col min="25" max="25" width="11" customWidth="1"/>
    <col min="26" max="28" width="8.7109375" customWidth="1"/>
  </cols>
  <sheetData>
    <row r="1" spans="1:28" ht="14.25" customHeight="1" x14ac:dyDescent="0.25"/>
    <row r="2" spans="1:28" ht="14.25" customHeight="1" x14ac:dyDescent="0.25"/>
    <row r="3" spans="1:28" ht="14.25" customHeight="1" x14ac:dyDescent="0.25">
      <c r="A3" s="44" t="s">
        <v>83</v>
      </c>
      <c r="B3" s="45" t="s">
        <v>84</v>
      </c>
      <c r="C3" s="45" t="s">
        <v>85</v>
      </c>
      <c r="D3" s="46" t="s">
        <v>86</v>
      </c>
      <c r="E3" s="46" t="s">
        <v>87</v>
      </c>
      <c r="F3" s="46" t="s">
        <v>88</v>
      </c>
      <c r="G3" s="46" t="s">
        <v>89</v>
      </c>
      <c r="H3" s="46" t="s">
        <v>90</v>
      </c>
      <c r="I3" s="46" t="s">
        <v>72</v>
      </c>
      <c r="J3" s="47" t="s">
        <v>4</v>
      </c>
      <c r="K3" s="48" t="s">
        <v>91</v>
      </c>
      <c r="L3" s="48" t="s">
        <v>92</v>
      </c>
      <c r="M3" s="49" t="s">
        <v>93</v>
      </c>
      <c r="N3" s="50" t="s">
        <v>94</v>
      </c>
      <c r="O3" s="50" t="s">
        <v>95</v>
      </c>
      <c r="P3" s="51" t="s">
        <v>96</v>
      </c>
      <c r="Q3" s="52" t="s">
        <v>97</v>
      </c>
      <c r="R3" s="52" t="s">
        <v>98</v>
      </c>
      <c r="S3" s="53" t="s">
        <v>99</v>
      </c>
      <c r="T3" s="54" t="s">
        <v>100</v>
      </c>
      <c r="U3" s="54" t="s">
        <v>101</v>
      </c>
      <c r="V3" s="47" t="s">
        <v>102</v>
      </c>
      <c r="W3" s="47" t="s">
        <v>103</v>
      </c>
      <c r="X3" s="47" t="s">
        <v>104</v>
      </c>
      <c r="Y3" s="47" t="s">
        <v>35</v>
      </c>
      <c r="Z3" s="47" t="s">
        <v>105</v>
      </c>
      <c r="AA3" s="45" t="s">
        <v>106</v>
      </c>
      <c r="AB3" s="45" t="s">
        <v>107</v>
      </c>
    </row>
    <row r="4" spans="1:28" ht="14.25" customHeight="1" x14ac:dyDescent="0.25">
      <c r="A4" s="55">
        <v>1</v>
      </c>
      <c r="B4" s="55" t="s">
        <v>108</v>
      </c>
      <c r="C4" s="55" t="str">
        <f>'revised format'!A2</f>
        <v>YAS26ZWEWYF72145</v>
      </c>
      <c r="D4" s="55"/>
      <c r="E4" s="56">
        <f>'revised format'!L69</f>
        <v>103.57559999999999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75</v>
      </c>
      <c r="J4" s="55" t="str">
        <f>'revised format'!E2</f>
        <v>90% Cotton, 10% Linen</v>
      </c>
      <c r="K4" s="56">
        <f>'revised format'!K2</f>
        <v>0</v>
      </c>
      <c r="L4" s="56">
        <f>'revised format'!G2</f>
        <v>0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25"/>
    <row r="6" spans="1:28" ht="14.25" customHeight="1" x14ac:dyDescent="0.25"/>
    <row r="7" spans="1:28" ht="14.25" customHeight="1" x14ac:dyDescent="0.25"/>
    <row r="8" spans="1:28" ht="14.25" customHeight="1" x14ac:dyDescent="0.25"/>
    <row r="9" spans="1:28" ht="14.25" customHeight="1" x14ac:dyDescent="0.25"/>
    <row r="10" spans="1:28" ht="14.25" customHeight="1" x14ac:dyDescent="0.25"/>
    <row r="11" spans="1:28" ht="14.25" customHeight="1" x14ac:dyDescent="0.25"/>
    <row r="12" spans="1:28" ht="14.25" customHeight="1" x14ac:dyDescent="0.25"/>
    <row r="13" spans="1:28" ht="14.25" customHeight="1" x14ac:dyDescent="0.25"/>
    <row r="14" spans="1:28" ht="14.25" customHeight="1" x14ac:dyDescent="0.25"/>
    <row r="15" spans="1:28" ht="14.25" customHeight="1" x14ac:dyDescent="0.25"/>
    <row r="16" spans="1:28" ht="14.25" customHeight="1" x14ac:dyDescent="0.25">
      <c r="B16" s="5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2023-09-08T05:11:21Z</dcterms:created>
  <dcterms:modified xsi:type="dcterms:W3CDTF">2026-05-11T07:30:39Z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