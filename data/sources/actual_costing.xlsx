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CB977C8-B968-463C-B106-87D7729B3A39}" xr6:coauthVersionLast="36" xr6:coauthVersionMax="36" xr10:uidLastSave="{00000000-0000-0000-0000-000000000000}"/>
  <bookViews>
    <workbookView xWindow="0" yWindow="0" windowWidth="19200" windowHeight="6520" firstSheet="17" activeTab="27" xr2:uid="{7C7B4655-E4EC-4A2A-A6C4-CEF86C490FB5}"/>
  </bookViews>
  <sheets>
    <sheet name="78290" sheetId="21" r:id="rId1"/>
    <sheet name="79062" sheetId="1" r:id="rId2"/>
    <sheet name="65440" sheetId="2" r:id="rId3"/>
    <sheet name="68119" sheetId="3" r:id="rId4"/>
    <sheet name="65424" sheetId="4" r:id="rId5"/>
    <sheet name="65432" sheetId="5" r:id="rId6"/>
    <sheet name="1714" sheetId="6" r:id="rId7"/>
    <sheet name="74643" sheetId="7" r:id="rId8"/>
    <sheet name="71429" sheetId="9" r:id="rId9"/>
    <sheet name="72145" sheetId="10" r:id="rId10"/>
    <sheet name="71447" sheetId="11" r:id="rId11"/>
    <sheet name="0556" sheetId="12" r:id="rId12"/>
    <sheet name="0557" sheetId="13" r:id="rId13"/>
    <sheet name="67762" sheetId="14" r:id="rId14"/>
    <sheet name="2825" sheetId="15" r:id="rId15"/>
    <sheet name="2397" sheetId="16" r:id="rId16"/>
    <sheet name="3113" sheetId="18" r:id="rId17"/>
    <sheet name="2220" sheetId="19" r:id="rId18"/>
    <sheet name="1851" sheetId="20" r:id="rId19"/>
    <sheet name="2358" sheetId="22" r:id="rId20"/>
    <sheet name="2355" sheetId="23" r:id="rId21"/>
    <sheet name="2349" sheetId="24" r:id="rId22"/>
    <sheet name="2394" sheetId="25" r:id="rId23"/>
    <sheet name="2388" sheetId="26" r:id="rId24"/>
    <sheet name="2395" sheetId="27" r:id="rId25"/>
    <sheet name="2386" sheetId="28" r:id="rId26"/>
    <sheet name="2362" sheetId="29" r:id="rId27"/>
    <sheet name="2083" sheetId="30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30" l="1"/>
  <c r="E46" i="30"/>
  <c r="E45" i="30"/>
  <c r="E44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7" i="30"/>
  <c r="E16" i="30"/>
  <c r="E13" i="30"/>
  <c r="E14" i="30" s="1"/>
  <c r="E12" i="30"/>
  <c r="E11" i="30"/>
  <c r="E10" i="30"/>
  <c r="E9" i="30"/>
  <c r="E8" i="30"/>
  <c r="D3" i="30"/>
  <c r="D2" i="30"/>
  <c r="E49" i="30" l="1"/>
  <c r="E35" i="30"/>
  <c r="E37" i="30"/>
  <c r="E38" i="30" s="1"/>
  <c r="E41" i="30" s="1"/>
  <c r="D41" i="30" s="1"/>
  <c r="E47" i="29"/>
  <c r="E46" i="29"/>
  <c r="E45" i="29"/>
  <c r="E44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7" i="29"/>
  <c r="E16" i="29"/>
  <c r="E13" i="29"/>
  <c r="E12" i="29"/>
  <c r="E11" i="29"/>
  <c r="E10" i="29"/>
  <c r="E9" i="29"/>
  <c r="E8" i="29"/>
  <c r="D3" i="29"/>
  <c r="D2" i="29"/>
  <c r="E47" i="28"/>
  <c r="E46" i="28"/>
  <c r="E45" i="28"/>
  <c r="E44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7" i="28"/>
  <c r="E16" i="28"/>
  <c r="E13" i="28"/>
  <c r="E12" i="28"/>
  <c r="E11" i="28"/>
  <c r="E10" i="28"/>
  <c r="E9" i="28"/>
  <c r="E8" i="28"/>
  <c r="E14" i="28" s="1"/>
  <c r="D3" i="28"/>
  <c r="D2" i="28"/>
  <c r="D50" i="30" l="1"/>
  <c r="E39" i="30"/>
  <c r="E35" i="29"/>
  <c r="E37" i="29" s="1"/>
  <c r="E38" i="29" s="1"/>
  <c r="E41" i="29" s="1"/>
  <c r="D41" i="29" s="1"/>
  <c r="E49" i="29"/>
  <c r="E14" i="29"/>
  <c r="E49" i="28"/>
  <c r="E35" i="28"/>
  <c r="E37" i="28"/>
  <c r="E38" i="28" s="1"/>
  <c r="E41" i="28" s="1"/>
  <c r="D41" i="28" s="1"/>
  <c r="D50" i="29" l="1"/>
  <c r="E39" i="29"/>
  <c r="D50" i="28"/>
  <c r="E39" i="28"/>
  <c r="E47" i="27" l="1"/>
  <c r="E46" i="27"/>
  <c r="E45" i="27"/>
  <c r="E44" i="27"/>
  <c r="E49" i="27" s="1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7" i="27"/>
  <c r="E16" i="27"/>
  <c r="E13" i="27"/>
  <c r="E12" i="27"/>
  <c r="E11" i="27"/>
  <c r="E10" i="27"/>
  <c r="E9" i="27"/>
  <c r="E8" i="27"/>
  <c r="D3" i="27"/>
  <c r="D2" i="27"/>
  <c r="E47" i="26"/>
  <c r="E46" i="26"/>
  <c r="E45" i="26"/>
  <c r="E44" i="26"/>
  <c r="E49" i="26" s="1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35" i="26" s="1"/>
  <c r="E17" i="26"/>
  <c r="E16" i="26"/>
  <c r="E13" i="26"/>
  <c r="E14" i="26" s="1"/>
  <c r="E12" i="26"/>
  <c r="E11" i="26"/>
  <c r="E10" i="26"/>
  <c r="E9" i="26"/>
  <c r="E8" i="26"/>
  <c r="D3" i="26"/>
  <c r="D2" i="26"/>
  <c r="E47" i="25"/>
  <c r="E46" i="25"/>
  <c r="E45" i="25"/>
  <c r="E44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7" i="25"/>
  <c r="E16" i="25"/>
  <c r="E13" i="25"/>
  <c r="E12" i="25"/>
  <c r="E11" i="25"/>
  <c r="E10" i="25"/>
  <c r="E9" i="25"/>
  <c r="E8" i="25"/>
  <c r="D3" i="25"/>
  <c r="D2" i="25"/>
  <c r="E47" i="24"/>
  <c r="E46" i="24"/>
  <c r="E45" i="24"/>
  <c r="E44" i="24"/>
  <c r="E49" i="24" s="1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7" i="24"/>
  <c r="E16" i="24"/>
  <c r="E13" i="24"/>
  <c r="E12" i="24"/>
  <c r="E11" i="24"/>
  <c r="E10" i="24"/>
  <c r="E9" i="24"/>
  <c r="E8" i="24"/>
  <c r="D3" i="24"/>
  <c r="D2" i="24"/>
  <c r="E14" i="27" l="1"/>
  <c r="E35" i="27"/>
  <c r="E37" i="27"/>
  <c r="E38" i="27" s="1"/>
  <c r="E41" i="27" s="1"/>
  <c r="D41" i="27" s="1"/>
  <c r="E37" i="26"/>
  <c r="E38" i="26" s="1"/>
  <c r="E41" i="26" s="1"/>
  <c r="D41" i="26" s="1"/>
  <c r="E49" i="25"/>
  <c r="E35" i="25"/>
  <c r="E14" i="25"/>
  <c r="E37" i="25" s="1"/>
  <c r="E35" i="24"/>
  <c r="E14" i="24"/>
  <c r="E37" i="24" s="1"/>
  <c r="D50" i="27" l="1"/>
  <c r="E39" i="27"/>
  <c r="E39" i="26"/>
  <c r="D50" i="26"/>
  <c r="E38" i="25"/>
  <c r="E41" i="25" s="1"/>
  <c r="D41" i="25" s="1"/>
  <c r="D50" i="25"/>
  <c r="E39" i="25"/>
  <c r="E38" i="24"/>
  <c r="E41" i="24" s="1"/>
  <c r="D41" i="24" s="1"/>
  <c r="E39" i="24"/>
  <c r="D50" i="24"/>
  <c r="E49" i="23"/>
  <c r="E47" i="23"/>
  <c r="E46" i="23"/>
  <c r="E45" i="23"/>
  <c r="E44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7" i="23"/>
  <c r="E16" i="23"/>
  <c r="E13" i="23"/>
  <c r="E12" i="23"/>
  <c r="E11" i="23"/>
  <c r="E10" i="23"/>
  <c r="E9" i="23"/>
  <c r="E8" i="23"/>
  <c r="D3" i="23"/>
  <c r="D2" i="23"/>
  <c r="E35" i="23" l="1"/>
  <c r="E14" i="23"/>
  <c r="E47" i="22"/>
  <c r="E37" i="23" l="1"/>
  <c r="D50" i="23" s="1"/>
  <c r="E46" i="22"/>
  <c r="E45" i="22"/>
  <c r="E44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35" i="22" s="1"/>
  <c r="E17" i="22"/>
  <c r="E16" i="22"/>
  <c r="E13" i="22"/>
  <c r="E12" i="22"/>
  <c r="E11" i="22"/>
  <c r="E10" i="22"/>
  <c r="E9" i="22"/>
  <c r="E8" i="22"/>
  <c r="D3" i="22"/>
  <c r="D2" i="22"/>
  <c r="E38" i="23" l="1"/>
  <c r="E41" i="23" s="1"/>
  <c r="D41" i="23" s="1"/>
  <c r="E39" i="23"/>
  <c r="E49" i="22"/>
  <c r="E14" i="22"/>
  <c r="E37" i="22" s="1"/>
  <c r="E47" i="21"/>
  <c r="E46" i="21"/>
  <c r="E45" i="21"/>
  <c r="E44" i="21"/>
  <c r="E49" i="21" s="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7" i="21"/>
  <c r="E16" i="21"/>
  <c r="E13" i="21"/>
  <c r="E12" i="21"/>
  <c r="E11" i="21"/>
  <c r="E10" i="21"/>
  <c r="E9" i="21"/>
  <c r="E8" i="21"/>
  <c r="D3" i="21"/>
  <c r="D2" i="21"/>
  <c r="E39" i="22" l="1"/>
  <c r="E38" i="22"/>
  <c r="E41" i="22" s="1"/>
  <c r="D41" i="22" s="1"/>
  <c r="D50" i="22"/>
  <c r="E35" i="21"/>
  <c r="E14" i="21"/>
  <c r="E37" i="21"/>
  <c r="D50" i="21" s="1"/>
  <c r="D41" i="20"/>
  <c r="E39" i="21" l="1"/>
  <c r="E38" i="21"/>
  <c r="E41" i="21" s="1"/>
  <c r="D41" i="21" s="1"/>
  <c r="E47" i="20"/>
  <c r="E46" i="20"/>
  <c r="E45" i="20"/>
  <c r="E44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7" i="20"/>
  <c r="E16" i="20"/>
  <c r="E13" i="20"/>
  <c r="E12" i="20"/>
  <c r="E11" i="20"/>
  <c r="E10" i="20"/>
  <c r="E9" i="20"/>
  <c r="E8" i="20"/>
  <c r="D3" i="20"/>
  <c r="D2" i="20"/>
  <c r="E37" i="18"/>
  <c r="E49" i="20" l="1"/>
  <c r="E35" i="20"/>
  <c r="E14" i="20"/>
  <c r="E47" i="19"/>
  <c r="E46" i="19"/>
  <c r="E45" i="19"/>
  <c r="E44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7" i="19"/>
  <c r="E16" i="19"/>
  <c r="E13" i="19"/>
  <c r="E12" i="19"/>
  <c r="E11" i="19"/>
  <c r="E10" i="19"/>
  <c r="E9" i="19"/>
  <c r="E8" i="19"/>
  <c r="D3" i="19"/>
  <c r="D2" i="19"/>
  <c r="E47" i="18"/>
  <c r="E46" i="18"/>
  <c r="E45" i="18"/>
  <c r="E44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35" i="18" s="1"/>
  <c r="E17" i="18"/>
  <c r="E16" i="18"/>
  <c r="E13" i="18"/>
  <c r="E12" i="18"/>
  <c r="E11" i="18"/>
  <c r="E10" i="18"/>
  <c r="E9" i="18"/>
  <c r="E8" i="18"/>
  <c r="D3" i="18"/>
  <c r="D2" i="18"/>
  <c r="E37" i="20" l="1"/>
  <c r="E38" i="20" s="1"/>
  <c r="E41" i="20" s="1"/>
  <c r="E39" i="20"/>
  <c r="E49" i="19"/>
  <c r="E14" i="19"/>
  <c r="E35" i="19"/>
  <c r="E37" i="19" s="1"/>
  <c r="E38" i="19" s="1"/>
  <c r="E41" i="19" s="1"/>
  <c r="E49" i="18"/>
  <c r="E14" i="18"/>
  <c r="E37" i="14"/>
  <c r="E39" i="14" s="1"/>
  <c r="E37" i="16"/>
  <c r="E39" i="16" s="1"/>
  <c r="E47" i="16"/>
  <c r="E46" i="16"/>
  <c r="E49" i="16" s="1"/>
  <c r="E45" i="16"/>
  <c r="E44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7" i="16"/>
  <c r="E16" i="16"/>
  <c r="E13" i="16"/>
  <c r="E12" i="16"/>
  <c r="E11" i="16"/>
  <c r="E10" i="16"/>
  <c r="E9" i="16"/>
  <c r="E8" i="16"/>
  <c r="D3" i="16"/>
  <c r="D2" i="16"/>
  <c r="B7" i="14"/>
  <c r="D50" i="20" l="1"/>
  <c r="D50" i="19"/>
  <c r="D41" i="19" s="1"/>
  <c r="E39" i="19"/>
  <c r="E38" i="18"/>
  <c r="E41" i="18" s="1"/>
  <c r="E39" i="18"/>
  <c r="D50" i="18"/>
  <c r="E35" i="16"/>
  <c r="E14" i="16"/>
  <c r="E47" i="15"/>
  <c r="E46" i="15"/>
  <c r="E45" i="15"/>
  <c r="E44" i="15"/>
  <c r="E49" i="15" s="1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7" i="15"/>
  <c r="E16" i="15"/>
  <c r="E13" i="15"/>
  <c r="E12" i="15"/>
  <c r="E11" i="15"/>
  <c r="E10" i="15"/>
  <c r="E9" i="15"/>
  <c r="E8" i="15"/>
  <c r="D3" i="15"/>
  <c r="D2" i="15"/>
  <c r="E12" i="7"/>
  <c r="E11" i="7"/>
  <c r="E47" i="14"/>
  <c r="E46" i="14"/>
  <c r="E45" i="14"/>
  <c r="E44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7" i="14"/>
  <c r="E16" i="14"/>
  <c r="E13" i="14"/>
  <c r="E12" i="14"/>
  <c r="E11" i="14"/>
  <c r="E10" i="14"/>
  <c r="E9" i="14"/>
  <c r="E8" i="14"/>
  <c r="D3" i="14"/>
  <c r="D2" i="14"/>
  <c r="E47" i="13"/>
  <c r="E46" i="13"/>
  <c r="E45" i="13"/>
  <c r="E44" i="13"/>
  <c r="E49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35" i="13" s="1"/>
  <c r="E17" i="13"/>
  <c r="E16" i="13"/>
  <c r="E13" i="13"/>
  <c r="E14" i="13" s="1"/>
  <c r="E12" i="13"/>
  <c r="E11" i="13"/>
  <c r="E10" i="13"/>
  <c r="E9" i="13"/>
  <c r="E8" i="13"/>
  <c r="D3" i="13"/>
  <c r="D2" i="13"/>
  <c r="E47" i="12"/>
  <c r="E46" i="12"/>
  <c r="E45" i="12"/>
  <c r="E44" i="12"/>
  <c r="E49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7" i="12"/>
  <c r="E16" i="12"/>
  <c r="E13" i="12"/>
  <c r="E12" i="12"/>
  <c r="E11" i="12"/>
  <c r="E10" i="12"/>
  <c r="E9" i="12"/>
  <c r="E8" i="12"/>
  <c r="D3" i="12"/>
  <c r="D2" i="12"/>
  <c r="E47" i="11"/>
  <c r="E46" i="11"/>
  <c r="E45" i="11"/>
  <c r="E44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7" i="11"/>
  <c r="E16" i="11"/>
  <c r="E13" i="11"/>
  <c r="E14" i="11" s="1"/>
  <c r="E12" i="11"/>
  <c r="E11" i="11"/>
  <c r="E10" i="11"/>
  <c r="E9" i="11"/>
  <c r="E8" i="11"/>
  <c r="D3" i="11"/>
  <c r="D2" i="11"/>
  <c r="E47" i="10"/>
  <c r="E46" i="10"/>
  <c r="E45" i="10"/>
  <c r="E44" i="10"/>
  <c r="E49" i="10" s="1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7" i="10"/>
  <c r="E16" i="10"/>
  <c r="E13" i="10"/>
  <c r="E12" i="10"/>
  <c r="E11" i="10"/>
  <c r="E10" i="10"/>
  <c r="E9" i="10"/>
  <c r="E8" i="10"/>
  <c r="D3" i="10"/>
  <c r="D2" i="10"/>
  <c r="D41" i="18" l="1"/>
  <c r="E38" i="16"/>
  <c r="E41" i="16" s="1"/>
  <c r="D41" i="16" s="1"/>
  <c r="D50" i="16"/>
  <c r="E35" i="15"/>
  <c r="E14" i="15"/>
  <c r="E37" i="15"/>
  <c r="E38" i="15" s="1"/>
  <c r="E41" i="15" s="1"/>
  <c r="D41" i="15" s="1"/>
  <c r="E49" i="14"/>
  <c r="E14" i="14"/>
  <c r="E35" i="14"/>
  <c r="E37" i="13"/>
  <c r="E38" i="13" s="1"/>
  <c r="E41" i="13" s="1"/>
  <c r="D41" i="13" s="1"/>
  <c r="E35" i="12"/>
  <c r="E14" i="12"/>
  <c r="E37" i="12"/>
  <c r="E38" i="12" s="1"/>
  <c r="E41" i="12" s="1"/>
  <c r="D41" i="12" s="1"/>
  <c r="E49" i="11"/>
  <c r="E35" i="11"/>
  <c r="E37" i="11"/>
  <c r="E38" i="11" s="1"/>
  <c r="E41" i="11" s="1"/>
  <c r="D41" i="11" s="1"/>
  <c r="E35" i="10"/>
  <c r="E14" i="10"/>
  <c r="E37" i="10" s="1"/>
  <c r="E47" i="9"/>
  <c r="E46" i="9"/>
  <c r="E45" i="9"/>
  <c r="E44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7" i="9"/>
  <c r="E16" i="9"/>
  <c r="E13" i="9"/>
  <c r="E12" i="9"/>
  <c r="E14" i="9" s="1"/>
  <c r="E11" i="9"/>
  <c r="E10" i="9"/>
  <c r="E9" i="9"/>
  <c r="E8" i="9"/>
  <c r="D3" i="9"/>
  <c r="D2" i="9"/>
  <c r="E47" i="7"/>
  <c r="E46" i="7"/>
  <c r="E45" i="7"/>
  <c r="E44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7" i="7"/>
  <c r="E16" i="7"/>
  <c r="E13" i="7"/>
  <c r="E10" i="7"/>
  <c r="E9" i="7"/>
  <c r="E8" i="7"/>
  <c r="D3" i="7"/>
  <c r="D2" i="7"/>
  <c r="E47" i="6"/>
  <c r="E46" i="6"/>
  <c r="E45" i="6"/>
  <c r="E44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7" i="6"/>
  <c r="E16" i="6"/>
  <c r="E13" i="6"/>
  <c r="E14" i="6" s="1"/>
  <c r="E12" i="6"/>
  <c r="E11" i="6"/>
  <c r="E10" i="6"/>
  <c r="E9" i="6"/>
  <c r="E8" i="6"/>
  <c r="D3" i="6"/>
  <c r="D2" i="6"/>
  <c r="D50" i="15" l="1"/>
  <c r="E39" i="15"/>
  <c r="E35" i="9"/>
  <c r="E38" i="14"/>
  <c r="E41" i="14" s="1"/>
  <c r="D41" i="14" s="1"/>
  <c r="D50" i="13"/>
  <c r="E39" i="13"/>
  <c r="D50" i="12"/>
  <c r="E39" i="12"/>
  <c r="D50" i="11"/>
  <c r="E39" i="11"/>
  <c r="E38" i="10"/>
  <c r="E41" i="10" s="1"/>
  <c r="D41" i="10" s="1"/>
  <c r="E39" i="10"/>
  <c r="D50" i="10"/>
  <c r="E49" i="9"/>
  <c r="E37" i="9"/>
  <c r="E38" i="9" s="1"/>
  <c r="E41" i="9" s="1"/>
  <c r="D41" i="9" s="1"/>
  <c r="E49" i="7"/>
  <c r="E35" i="7"/>
  <c r="E14" i="7"/>
  <c r="E37" i="7" s="1"/>
  <c r="E38" i="7" s="1"/>
  <c r="E41" i="7" s="1"/>
  <c r="D41" i="7" s="1"/>
  <c r="E49" i="6"/>
  <c r="E35" i="6"/>
  <c r="E37" i="6"/>
  <c r="E38" i="6" s="1"/>
  <c r="E41" i="6" s="1"/>
  <c r="D41" i="6" s="1"/>
  <c r="D50" i="14" l="1"/>
  <c r="D50" i="9"/>
  <c r="E39" i="9"/>
  <c r="D50" i="7"/>
  <c r="E39" i="7"/>
  <c r="E39" i="6"/>
  <c r="D50" i="6"/>
  <c r="E47" i="5" l="1"/>
  <c r="E49" i="5" s="1"/>
  <c r="E46" i="5"/>
  <c r="E45" i="5"/>
  <c r="E44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35" i="5" s="1"/>
  <c r="E37" i="5" s="1"/>
  <c r="E38" i="5" s="1"/>
  <c r="E41" i="5" s="1"/>
  <c r="D41" i="5" s="1"/>
  <c r="E17" i="5"/>
  <c r="E16" i="5"/>
  <c r="E13" i="5"/>
  <c r="E12" i="5"/>
  <c r="E11" i="5"/>
  <c r="E10" i="5"/>
  <c r="E14" i="5" s="1"/>
  <c r="E9" i="5"/>
  <c r="E8" i="5"/>
  <c r="D3" i="5"/>
  <c r="E39" i="5" s="1"/>
  <c r="D2" i="5"/>
  <c r="E47" i="4"/>
  <c r="E49" i="4" s="1"/>
  <c r="E46" i="4"/>
  <c r="E45" i="4"/>
  <c r="E44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35" i="4" s="1"/>
  <c r="E17" i="4"/>
  <c r="E16" i="4"/>
  <c r="E13" i="4"/>
  <c r="E12" i="4"/>
  <c r="E11" i="4"/>
  <c r="E10" i="4"/>
  <c r="E9" i="4"/>
  <c r="E8" i="4"/>
  <c r="E14" i="4" s="1"/>
  <c r="D3" i="4"/>
  <c r="D2" i="4"/>
  <c r="E47" i="3"/>
  <c r="E46" i="3"/>
  <c r="E45" i="3"/>
  <c r="E44" i="3"/>
  <c r="E49" i="3" s="1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35" i="3" s="1"/>
  <c r="E37" i="3" s="1"/>
  <c r="E38" i="3" s="1"/>
  <c r="E41" i="3" s="1"/>
  <c r="D41" i="3" s="1"/>
  <c r="E17" i="3"/>
  <c r="E16" i="3"/>
  <c r="E13" i="3"/>
  <c r="E12" i="3"/>
  <c r="E11" i="3"/>
  <c r="E10" i="3"/>
  <c r="E14" i="3" s="1"/>
  <c r="E9" i="3"/>
  <c r="E8" i="3"/>
  <c r="D3" i="3"/>
  <c r="D2" i="3"/>
  <c r="E47" i="2"/>
  <c r="E46" i="2"/>
  <c r="E45" i="2"/>
  <c r="E44" i="2"/>
  <c r="E49" i="2" s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35" i="2" s="1"/>
  <c r="E17" i="2"/>
  <c r="E16" i="2"/>
  <c r="E13" i="2"/>
  <c r="E14" i="2" s="1"/>
  <c r="E12" i="2"/>
  <c r="E11" i="2"/>
  <c r="E10" i="2"/>
  <c r="E9" i="2"/>
  <c r="E8" i="2"/>
  <c r="D3" i="2"/>
  <c r="D2" i="2"/>
  <c r="E47" i="1"/>
  <c r="E46" i="1"/>
  <c r="E45" i="1"/>
  <c r="E44" i="1"/>
  <c r="E49" i="1" s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35" i="1" s="1"/>
  <c r="E37" i="1" s="1"/>
  <c r="E17" i="1"/>
  <c r="E16" i="1"/>
  <c r="E13" i="1"/>
  <c r="E12" i="1"/>
  <c r="E11" i="1"/>
  <c r="E14" i="1" s="1"/>
  <c r="E10" i="1"/>
  <c r="E9" i="1"/>
  <c r="E8" i="1"/>
  <c r="D3" i="1"/>
  <c r="D2" i="1"/>
  <c r="D50" i="5" l="1"/>
  <c r="E37" i="4"/>
  <c r="D50" i="4"/>
  <c r="E39" i="3"/>
  <c r="D50" i="3"/>
  <c r="E37" i="2"/>
  <c r="E38" i="2" s="1"/>
  <c r="E41" i="2" s="1"/>
  <c r="D41" i="2" s="1"/>
  <c r="E39" i="2"/>
  <c r="D50" i="2"/>
  <c r="D50" i="1"/>
  <c r="E39" i="1"/>
  <c r="E38" i="1"/>
  <c r="E41" i="1" s="1"/>
  <c r="D41" i="1" s="1"/>
  <c r="E38" i="4" l="1"/>
  <c r="E41" i="4" s="1"/>
  <c r="D41" i="4" s="1"/>
  <c r="E39" i="4"/>
</calcChain>
</file>

<file path=xl/sharedStrings.xml><?xml version="1.0" encoding="utf-8"?>
<sst xmlns="http://schemas.openxmlformats.org/spreadsheetml/2006/main" count="1354" uniqueCount="114">
  <si>
    <t>79062 - off white</t>
  </si>
  <si>
    <t>QTY</t>
  </si>
  <si>
    <t>RATE</t>
  </si>
  <si>
    <t>SALE</t>
  </si>
  <si>
    <t>PURCHASE</t>
  </si>
  <si>
    <t>ORDER PCS</t>
  </si>
  <si>
    <t>fabric rec-2772mtr</t>
  </si>
  <si>
    <t>DISPATCH PCS</t>
  </si>
  <si>
    <t>cut pcs - 1827pcs</t>
  </si>
  <si>
    <t>FABRIC ORDER</t>
  </si>
  <si>
    <t>CONSUPMTION</t>
  </si>
  <si>
    <t>cotton flex white</t>
  </si>
  <si>
    <t>EMB</t>
  </si>
  <si>
    <t>scallop</t>
  </si>
  <si>
    <t>tassel with coin</t>
  </si>
  <si>
    <t>trims 6</t>
  </si>
  <si>
    <t>trims 7</t>
  </si>
  <si>
    <t>Total fabric cost</t>
  </si>
  <si>
    <t>CMT</t>
  </si>
  <si>
    <t>TRIMS</t>
  </si>
  <si>
    <t>main label</t>
  </si>
  <si>
    <t>size label</t>
  </si>
  <si>
    <t>wash care</t>
  </si>
  <si>
    <t>flag label</t>
  </si>
  <si>
    <t>wooden button</t>
  </si>
  <si>
    <t>size sticker</t>
  </si>
  <si>
    <t>Price tag</t>
  </si>
  <si>
    <t>prepack stickers</t>
  </si>
  <si>
    <t>match it tag</t>
  </si>
  <si>
    <t>polybag rfid</t>
  </si>
  <si>
    <t>rfid poly bag</t>
  </si>
  <si>
    <t>carton</t>
  </si>
  <si>
    <t>master polybag</t>
  </si>
  <si>
    <t>carton sticker</t>
  </si>
  <si>
    <t>freight</t>
  </si>
  <si>
    <t>hardtags</t>
  </si>
  <si>
    <t>total trims cost</t>
  </si>
  <si>
    <t>LD CHARGES</t>
  </si>
  <si>
    <t>Total Cost</t>
  </si>
  <si>
    <t>Cost per pc</t>
  </si>
  <si>
    <t>PROFIT</t>
  </si>
  <si>
    <t>PER PC PROFIT</t>
  </si>
  <si>
    <t>profit %</t>
  </si>
  <si>
    <t xml:space="preserve">REJECT </t>
  </si>
  <si>
    <t xml:space="preserve">FABRIC - "A" --- plain </t>
  </si>
  <si>
    <t>FABRIC - "B"</t>
  </si>
  <si>
    <t>GARMENT - "B"</t>
  </si>
  <si>
    <t>GARMENT - "A"</t>
  </si>
  <si>
    <t>Total Value Loss</t>
  </si>
  <si>
    <t>% value loss</t>
  </si>
  <si>
    <t>65440- lilac</t>
  </si>
  <si>
    <t>fabric received - 1427 mtr</t>
  </si>
  <si>
    <t>pcs cut - 1169</t>
  </si>
  <si>
    <t>cotton slub solid</t>
  </si>
  <si>
    <t>lace</t>
  </si>
  <si>
    <t>68119 - lilac</t>
  </si>
  <si>
    <t>FABRIC REC- 2207MTR</t>
  </si>
  <si>
    <t>CUT QNTY-1592PCS</t>
  </si>
  <si>
    <t>rayon slub printed</t>
  </si>
  <si>
    <t>65424 - WHITE</t>
  </si>
  <si>
    <t>natural cotton flex</t>
  </si>
  <si>
    <t>65432- lilac</t>
  </si>
  <si>
    <t>cotton flex solid</t>
  </si>
  <si>
    <t>1714 - JET BLACK</t>
  </si>
  <si>
    <t>COTTON SLUB SOLID</t>
  </si>
  <si>
    <t>fabric rec - 1804mtr</t>
  </si>
  <si>
    <t>fabric used - 1786mtr</t>
  </si>
  <si>
    <t>shortage - 38pcs</t>
  </si>
  <si>
    <t>cut pcs - 1223</t>
  </si>
  <si>
    <t>74643 - off white</t>
  </si>
  <si>
    <t>fabric used - 2682mtr</t>
  </si>
  <si>
    <t>fabric rec - 2760mtr</t>
  </si>
  <si>
    <t>cut pcs - 1675</t>
  </si>
  <si>
    <t>shortage - 32pcs</t>
  </si>
  <si>
    <t>COTTON FLEX SOLID</t>
  </si>
  <si>
    <t>zipper</t>
  </si>
  <si>
    <t>elastic</t>
  </si>
  <si>
    <t>emb mtr</t>
  </si>
  <si>
    <t>71429 - black</t>
  </si>
  <si>
    <t>71447 - off white</t>
  </si>
  <si>
    <t>72145-off white</t>
  </si>
  <si>
    <t>0556 - lt blue</t>
  </si>
  <si>
    <t>COTTON slub solid</t>
  </si>
  <si>
    <t>cotton slub schiffli</t>
  </si>
  <si>
    <t>0557 - aqua</t>
  </si>
  <si>
    <t>67762 - lt.green</t>
  </si>
  <si>
    <t>CMT KURTA</t>
  </si>
  <si>
    <t>EMB with slvs</t>
  </si>
  <si>
    <t xml:space="preserve">CMT BOTTOM </t>
  </si>
  <si>
    <t>2825 - white</t>
  </si>
  <si>
    <t>2397 - pink</t>
  </si>
  <si>
    <t xml:space="preserve">40x30 cotton </t>
  </si>
  <si>
    <t>HAND WORK</t>
  </si>
  <si>
    <t>3113 - white</t>
  </si>
  <si>
    <t>rayon printed</t>
  </si>
  <si>
    <t>cotton flex</t>
  </si>
  <si>
    <t>tassels with dori</t>
  </si>
  <si>
    <t xml:space="preserve">emb </t>
  </si>
  <si>
    <t>1851 -black</t>
  </si>
  <si>
    <t>cotton slub</t>
  </si>
  <si>
    <t>78290 - off white</t>
  </si>
  <si>
    <t>2358 - pink</t>
  </si>
  <si>
    <t>2355 - white</t>
  </si>
  <si>
    <t>2349 - lt.red</t>
  </si>
  <si>
    <t>pst foil</t>
  </si>
  <si>
    <t>dori lace</t>
  </si>
  <si>
    <t xml:space="preserve">2394 - charcoal black </t>
  </si>
  <si>
    <t>2388 - medium blue</t>
  </si>
  <si>
    <t>2395 - lime yellow</t>
  </si>
  <si>
    <t>rayon foil</t>
  </si>
  <si>
    <t>due to fabric shortage qnty was short</t>
  </si>
  <si>
    <t>2386 fuchsia</t>
  </si>
  <si>
    <t>2362 - off white</t>
  </si>
  <si>
    <t>2083 -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</si>
</sst>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rgb="FF1F1F1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2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2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2" fontId="2" fillId="2" borderId="7" xfId="0" applyNumberFormat="1" applyFont="1" applyFill="1" applyBorder="1" applyAlignment="1">
      <alignment horizontal="right"/>
    </xf>
    <xf numFmtId="2" fontId="2" fillId="2" borderId="3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2" fontId="2" fillId="2" borderId="12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2" fontId="5" fillId="0" borderId="13" xfId="0" applyNumberFormat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" fontId="3" fillId="0" borderId="0" xfId="0" applyNumberFormat="1" applyFont="1"/>
    <xf numFmtId="2" fontId="3" fillId="0" borderId="0" xfId="0" applyNumberFormat="1" applyFont="1"/>
    <xf numFmtId="164" fontId="2" fillId="2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2E54-0B1C-4615-8038-073C3DBA96F9}">
  <dimension ref="A1:E54"/>
  <sheetViews>
    <sheetView topLeftCell="A16" workbookViewId="0">
      <selection activeCell="C4" sqref="C4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2119</v>
      </c>
      <c r="C2" s="4">
        <v>275</v>
      </c>
      <c r="D2" s="4">
        <f>C2*B2</f>
        <v>582725</v>
      </c>
      <c r="E2" s="5"/>
    </row>
    <row r="3" spans="1:5" x14ac:dyDescent="0.35">
      <c r="A3" s="3" t="s">
        <v>7</v>
      </c>
      <c r="B3" s="4">
        <v>2119</v>
      </c>
      <c r="C3" s="4">
        <v>275</v>
      </c>
      <c r="D3" s="4">
        <f>C3*B3</f>
        <v>582725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3248</v>
      </c>
      <c r="C8" s="6">
        <v>103.5</v>
      </c>
      <c r="D8" s="7"/>
      <c r="E8" s="9">
        <f>C8*B8</f>
        <v>336168</v>
      </c>
    </row>
    <row r="9" spans="1:5" x14ac:dyDescent="0.35">
      <c r="A9" s="3" t="s">
        <v>97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336168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2093</v>
      </c>
      <c r="C16" s="6">
        <v>67.75</v>
      </c>
      <c r="D16" s="7"/>
      <c r="E16" s="11">
        <f>C16*B16</f>
        <v>141800.75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2100</v>
      </c>
      <c r="C19" s="13">
        <v>0.67</v>
      </c>
      <c r="D19" s="7"/>
      <c r="E19" s="9">
        <f t="shared" ref="E19:E34" si="0">C19*B19</f>
        <v>1407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2120</v>
      </c>
      <c r="C21" s="13">
        <v>0.39</v>
      </c>
      <c r="D21" s="7"/>
      <c r="E21" s="9">
        <f t="shared" si="0"/>
        <v>826.80000000000007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2120</v>
      </c>
      <c r="C25" s="13">
        <v>3.1</v>
      </c>
      <c r="D25" s="7"/>
      <c r="E25" s="9">
        <f t="shared" si="0"/>
        <v>6572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2093</v>
      </c>
      <c r="C28" s="13">
        <v>1.95</v>
      </c>
      <c r="D28" s="7"/>
      <c r="E28" s="9">
        <f t="shared" si="0"/>
        <v>4081.35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42</v>
      </c>
      <c r="C30" s="6">
        <v>62</v>
      </c>
      <c r="D30" s="7"/>
      <c r="E30" s="9">
        <f t="shared" si="0"/>
        <v>2604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15491.15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493459.9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232.87394997640396</v>
      </c>
    </row>
    <row r="39" spans="1:5" x14ac:dyDescent="0.35">
      <c r="A39" s="14" t="s">
        <v>40</v>
      </c>
      <c r="B39" s="15"/>
      <c r="C39" s="16"/>
      <c r="D39" s="17"/>
      <c r="E39" s="18">
        <f>D3-E37</f>
        <v>89265.099999999977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15.318563644944012</v>
      </c>
      <c r="E41" s="28">
        <f>C3-E38</f>
        <v>42.126050023596036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0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2A47-A684-4359-89B7-0827095E001F}">
  <dimension ref="A1:G54"/>
  <sheetViews>
    <sheetView workbookViewId="0">
      <selection activeCell="E1" sqref="E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1740</v>
      </c>
      <c r="C2" s="4">
        <v>320</v>
      </c>
      <c r="D2" s="4">
        <f>C2*B2</f>
        <v>556800</v>
      </c>
      <c r="E2" s="5"/>
      <c r="G2" t="s">
        <v>6</v>
      </c>
    </row>
    <row r="3" spans="1:7" x14ac:dyDescent="0.35">
      <c r="A3" s="3" t="s">
        <v>7</v>
      </c>
      <c r="B3" s="4">
        <v>1740</v>
      </c>
      <c r="C3" s="4">
        <v>320</v>
      </c>
      <c r="D3" s="4">
        <f>C3*B3</f>
        <v>556800</v>
      </c>
      <c r="E3" s="5"/>
      <c r="G3" t="s">
        <v>8</v>
      </c>
    </row>
    <row r="4" spans="1:7" x14ac:dyDescent="0.35">
      <c r="A4" s="3"/>
      <c r="B4" s="6"/>
      <c r="C4" s="6"/>
      <c r="D4" s="6"/>
      <c r="E4" s="5"/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1.51</v>
      </c>
      <c r="C7" s="6"/>
      <c r="D7" s="7"/>
      <c r="E7" s="5"/>
    </row>
    <row r="8" spans="1:7" x14ac:dyDescent="0.35">
      <c r="A8" s="3" t="s">
        <v>11</v>
      </c>
      <c r="B8" s="6">
        <v>2800</v>
      </c>
      <c r="C8" s="6">
        <v>95.76</v>
      </c>
      <c r="D8" s="7"/>
      <c r="E8" s="9">
        <f>C8*B8</f>
        <v>268128</v>
      </c>
    </row>
    <row r="9" spans="1:7" x14ac:dyDescent="0.35">
      <c r="A9" s="3" t="s">
        <v>12</v>
      </c>
      <c r="B9" s="6">
        <v>2800</v>
      </c>
      <c r="C9" s="6">
        <v>12</v>
      </c>
      <c r="D9" s="7"/>
      <c r="E9" s="9">
        <f>C9*B9</f>
        <v>33600</v>
      </c>
    </row>
    <row r="10" spans="1:7" x14ac:dyDescent="0.35">
      <c r="A10" s="3" t="s">
        <v>13</v>
      </c>
      <c r="B10" s="6">
        <v>2800</v>
      </c>
      <c r="C10" s="10">
        <v>0.5</v>
      </c>
      <c r="D10" s="7"/>
      <c r="E10" s="9">
        <f>C10*B10</f>
        <v>1400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303128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1740</v>
      </c>
      <c r="C16" s="6">
        <v>56.75</v>
      </c>
      <c r="D16" s="7"/>
      <c r="E16" s="11">
        <f>C16*B16</f>
        <v>98745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1206</v>
      </c>
      <c r="C19" s="13">
        <v>0.67</v>
      </c>
      <c r="D19" s="7"/>
      <c r="E19" s="9">
        <f t="shared" ref="E19:E34" si="0">C19*B19</f>
        <v>808.0200000000001</v>
      </c>
    </row>
    <row r="20" spans="1:5" ht="15.5" x14ac:dyDescent="0.35">
      <c r="A20" s="3" t="s">
        <v>21</v>
      </c>
      <c r="B20" s="7">
        <v>1206</v>
      </c>
      <c r="C20" s="13">
        <v>0.75</v>
      </c>
      <c r="D20" s="7"/>
      <c r="E20" s="9">
        <f t="shared" si="0"/>
        <v>904.5</v>
      </c>
    </row>
    <row r="21" spans="1:5" ht="15.5" x14ac:dyDescent="0.35">
      <c r="A21" s="3" t="s">
        <v>22</v>
      </c>
      <c r="B21" s="7">
        <v>1220</v>
      </c>
      <c r="C21" s="13">
        <v>0.39</v>
      </c>
      <c r="D21" s="7"/>
      <c r="E21" s="9">
        <f t="shared" si="0"/>
        <v>475.8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1220</v>
      </c>
      <c r="C25" s="13">
        <v>3.1</v>
      </c>
      <c r="D25" s="7"/>
      <c r="E25" s="9">
        <f t="shared" si="0"/>
        <v>3782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2.0499999999999998</v>
      </c>
      <c r="D28" s="7"/>
      <c r="E28" s="9">
        <f t="shared" si="0"/>
        <v>2460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0.75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10644.32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412517.32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237.07891954022989</v>
      </c>
    </row>
    <row r="39" spans="1:5" x14ac:dyDescent="0.35">
      <c r="A39" s="14" t="s">
        <v>40</v>
      </c>
      <c r="B39" s="15"/>
      <c r="C39" s="16"/>
      <c r="D39" s="17"/>
      <c r="E39" s="18">
        <f>D3-E37</f>
        <v>144282.68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25.912837643678159</v>
      </c>
      <c r="E41" s="28">
        <f>C3-E38</f>
        <v>82.92108045977011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58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13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12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C20E-3661-4915-B4A3-0324D0489699}">
  <dimension ref="A1:G54"/>
  <sheetViews>
    <sheetView workbookViewId="0">
      <selection activeCell="H15" sqref="H15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50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7">
        <v>1188</v>
      </c>
      <c r="C2" s="6">
        <v>333</v>
      </c>
      <c r="D2" s="6">
        <f>C2*B2</f>
        <v>395604</v>
      </c>
      <c r="E2" s="5"/>
      <c r="G2" t="s">
        <v>51</v>
      </c>
    </row>
    <row r="3" spans="1:7" x14ac:dyDescent="0.35">
      <c r="A3" s="3" t="s">
        <v>7</v>
      </c>
      <c r="B3" s="7">
        <v>1167</v>
      </c>
      <c r="C3" s="6">
        <v>333</v>
      </c>
      <c r="D3" s="6">
        <f>C3*B3</f>
        <v>388611</v>
      </c>
      <c r="E3" s="5"/>
      <c r="G3" t="s">
        <v>52</v>
      </c>
    </row>
    <row r="4" spans="1:7" x14ac:dyDescent="0.35">
      <c r="A4" s="3"/>
      <c r="B4" s="6"/>
      <c r="C4" s="6"/>
      <c r="D4" s="6"/>
      <c r="E4" s="5"/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1.21</v>
      </c>
      <c r="C7" s="6"/>
      <c r="D7" s="7"/>
      <c r="E7" s="5"/>
    </row>
    <row r="8" spans="1:7" x14ac:dyDescent="0.35">
      <c r="A8" s="3" t="s">
        <v>53</v>
      </c>
      <c r="B8" s="6">
        <v>1427</v>
      </c>
      <c r="C8" s="6">
        <v>79.66</v>
      </c>
      <c r="D8" s="7"/>
      <c r="E8" s="9">
        <f>C8*B8</f>
        <v>113674.81999999999</v>
      </c>
    </row>
    <row r="9" spans="1:7" x14ac:dyDescent="0.35">
      <c r="A9" s="3" t="s">
        <v>12</v>
      </c>
      <c r="B9" s="6">
        <v>1200</v>
      </c>
      <c r="C9" s="6">
        <v>65</v>
      </c>
      <c r="D9" s="7"/>
      <c r="E9" s="9">
        <f>C9*B9</f>
        <v>78000</v>
      </c>
    </row>
    <row r="10" spans="1:7" x14ac:dyDescent="0.35">
      <c r="A10" s="3" t="s">
        <v>54</v>
      </c>
      <c r="B10" s="6">
        <v>1400</v>
      </c>
      <c r="C10" s="10">
        <v>2.8</v>
      </c>
      <c r="D10" s="7"/>
      <c r="E10" s="9">
        <f>C10*B10</f>
        <v>3919.9999999999995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195594.82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1167</v>
      </c>
      <c r="C16" s="6">
        <v>74.680000000000007</v>
      </c>
      <c r="D16" s="7"/>
      <c r="E16" s="11">
        <f>C16*B16</f>
        <v>87151.560000000012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1200</v>
      </c>
      <c r="C19" s="13">
        <v>0.67</v>
      </c>
      <c r="D19" s="7"/>
      <c r="E19" s="9">
        <f t="shared" ref="E19:E34" si="0">C19*B19</f>
        <v>804</v>
      </c>
    </row>
    <row r="20" spans="1:5" ht="15.5" x14ac:dyDescent="0.35">
      <c r="A20" s="3" t="s">
        <v>21</v>
      </c>
      <c r="B20" s="7">
        <v>1200</v>
      </c>
      <c r="C20" s="13">
        <v>0.75</v>
      </c>
      <c r="D20" s="7"/>
      <c r="E20" s="9">
        <f t="shared" si="0"/>
        <v>900</v>
      </c>
    </row>
    <row r="21" spans="1:5" ht="15.5" x14ac:dyDescent="0.35">
      <c r="A21" s="3" t="s">
        <v>22</v>
      </c>
      <c r="B21" s="7">
        <v>1200</v>
      </c>
      <c r="C21" s="13">
        <v>0.39</v>
      </c>
      <c r="D21" s="7"/>
      <c r="E21" s="9">
        <f t="shared" si="0"/>
        <v>468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1200</v>
      </c>
      <c r="C25" s="13">
        <v>3.1</v>
      </c>
      <c r="D25" s="7"/>
      <c r="E25" s="9">
        <f t="shared" si="0"/>
        <v>3720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2.0499999999999998</v>
      </c>
      <c r="D28" s="7"/>
      <c r="E28" s="9">
        <f t="shared" si="0"/>
        <v>2460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10566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293312.38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251.33880034275921</v>
      </c>
    </row>
    <row r="39" spans="1:5" x14ac:dyDescent="0.35">
      <c r="A39" s="14" t="s">
        <v>40</v>
      </c>
      <c r="B39" s="15"/>
      <c r="C39" s="16"/>
      <c r="D39" s="17"/>
      <c r="E39" s="18">
        <f>D3-E37</f>
        <v>95298.62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24.522882779952187</v>
      </c>
      <c r="E41" s="28">
        <f>C3-E38</f>
        <v>81.661199657240786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/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13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/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052F-D8C4-40C4-B798-F704805F76B8}">
  <dimension ref="A1:G54"/>
  <sheetViews>
    <sheetView workbookViewId="0">
      <selection activeCell="H16" sqref="H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55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7">
        <v>1569</v>
      </c>
      <c r="C2" s="6">
        <v>314</v>
      </c>
      <c r="D2" s="6">
        <f>C2*B2</f>
        <v>492666</v>
      </c>
      <c r="E2" s="5"/>
    </row>
    <row r="3" spans="1:7" x14ac:dyDescent="0.35">
      <c r="A3" s="3" t="s">
        <v>7</v>
      </c>
      <c r="B3" s="7">
        <v>1569</v>
      </c>
      <c r="C3" s="6">
        <v>314</v>
      </c>
      <c r="D3" s="6">
        <f>C3*B3</f>
        <v>492666</v>
      </c>
      <c r="E3" s="5"/>
      <c r="G3" t="s">
        <v>56</v>
      </c>
    </row>
    <row r="4" spans="1:7" x14ac:dyDescent="0.35">
      <c r="A4" s="3"/>
      <c r="B4" s="6"/>
      <c r="C4" s="6"/>
      <c r="D4" s="6"/>
      <c r="E4" s="5"/>
      <c r="G4" t="s">
        <v>57</v>
      </c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1.37</v>
      </c>
      <c r="C7" s="6"/>
      <c r="D7" s="7"/>
      <c r="E7" s="5"/>
    </row>
    <row r="8" spans="1:7" x14ac:dyDescent="0.35">
      <c r="A8" s="3" t="s">
        <v>58</v>
      </c>
      <c r="B8" s="6">
        <v>2207</v>
      </c>
      <c r="C8" s="6">
        <v>92</v>
      </c>
      <c r="D8" s="7"/>
      <c r="E8" s="9">
        <f>C8*B8</f>
        <v>203044</v>
      </c>
    </row>
    <row r="9" spans="1:7" x14ac:dyDescent="0.35">
      <c r="A9" s="3" t="s">
        <v>12</v>
      </c>
      <c r="B9" s="6">
        <v>1680</v>
      </c>
      <c r="C9" s="6">
        <v>24</v>
      </c>
      <c r="D9" s="7"/>
      <c r="E9" s="9">
        <f>C9*B9</f>
        <v>40320</v>
      </c>
    </row>
    <row r="10" spans="1:7" x14ac:dyDescent="0.35">
      <c r="A10" s="3" t="s">
        <v>54</v>
      </c>
      <c r="B10" s="6">
        <v>0</v>
      </c>
      <c r="C10" s="10">
        <v>0</v>
      </c>
      <c r="D10" s="7"/>
      <c r="E10" s="9">
        <f>C10*B10</f>
        <v>0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243364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1569</v>
      </c>
      <c r="C16" s="6">
        <v>65.22</v>
      </c>
      <c r="D16" s="7"/>
      <c r="E16" s="11">
        <f>C16*B16</f>
        <v>102330.18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1569</v>
      </c>
      <c r="C19" s="13">
        <v>0.67</v>
      </c>
      <c r="D19" s="7"/>
      <c r="E19" s="9">
        <f t="shared" ref="E19:E34" si="0">C19*B19</f>
        <v>1051.23</v>
      </c>
    </row>
    <row r="20" spans="1:5" ht="15.5" x14ac:dyDescent="0.35">
      <c r="A20" s="3" t="s">
        <v>21</v>
      </c>
      <c r="B20" s="7">
        <v>1569</v>
      </c>
      <c r="C20" s="13">
        <v>0.75</v>
      </c>
      <c r="D20" s="7"/>
      <c r="E20" s="9">
        <f t="shared" si="0"/>
        <v>1176.75</v>
      </c>
    </row>
    <row r="21" spans="1:5" ht="15.5" x14ac:dyDescent="0.35">
      <c r="A21" s="3" t="s">
        <v>22</v>
      </c>
      <c r="B21" s="7">
        <v>1600</v>
      </c>
      <c r="C21" s="13">
        <v>0.39</v>
      </c>
      <c r="D21" s="7"/>
      <c r="E21" s="9">
        <f t="shared" si="0"/>
        <v>624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1590</v>
      </c>
      <c r="C25" s="13">
        <v>3.1</v>
      </c>
      <c r="D25" s="7"/>
      <c r="E25" s="9">
        <f t="shared" si="0"/>
        <v>4929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1569</v>
      </c>
      <c r="C28" s="13">
        <v>2.4</v>
      </c>
      <c r="D28" s="7"/>
      <c r="E28" s="9">
        <f t="shared" si="0"/>
        <v>3765.6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67</v>
      </c>
      <c r="D30" s="7"/>
      <c r="E30" s="9">
        <f t="shared" si="0"/>
        <v>3015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0.75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14564.58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360258.76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229.61042702358191</v>
      </c>
    </row>
    <row r="39" spans="1:5" x14ac:dyDescent="0.35">
      <c r="A39" s="14" t="s">
        <v>40</v>
      </c>
      <c r="B39" s="15"/>
      <c r="C39" s="16"/>
      <c r="D39" s="17"/>
      <c r="E39" s="18">
        <f>D3-E37</f>
        <v>132407.24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26.875660183572641</v>
      </c>
      <c r="E41" s="28">
        <f>C3-E38</f>
        <v>84.389572976418094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/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19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6EB8-556F-484A-8A95-0735554F1B37}">
  <dimension ref="A1:E54"/>
  <sheetViews>
    <sheetView workbookViewId="0">
      <selection activeCell="I11" sqref="I1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59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7">
        <v>1200</v>
      </c>
      <c r="C2" s="6">
        <v>333</v>
      </c>
      <c r="D2" s="6">
        <f>C2*B2</f>
        <v>399600</v>
      </c>
      <c r="E2" s="5"/>
    </row>
    <row r="3" spans="1:5" x14ac:dyDescent="0.35">
      <c r="A3" s="3" t="s">
        <v>7</v>
      </c>
      <c r="B3" s="7">
        <v>1200</v>
      </c>
      <c r="C3" s="6">
        <v>333</v>
      </c>
      <c r="D3" s="6">
        <f>C3*B3</f>
        <v>399600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1.64</v>
      </c>
      <c r="C7" s="6"/>
      <c r="D7" s="7"/>
      <c r="E7" s="5"/>
    </row>
    <row r="8" spans="1:5" x14ac:dyDescent="0.35">
      <c r="A8" s="3" t="s">
        <v>60</v>
      </c>
      <c r="B8" s="6">
        <v>2221</v>
      </c>
      <c r="C8" s="6">
        <v>79.05</v>
      </c>
      <c r="D8" s="7"/>
      <c r="E8" s="9">
        <f>C8*B8</f>
        <v>175570.05</v>
      </c>
    </row>
    <row r="9" spans="1:5" x14ac:dyDescent="0.35">
      <c r="A9" s="3"/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54</v>
      </c>
      <c r="B10" s="6">
        <v>2400</v>
      </c>
      <c r="C10" s="10">
        <v>0.9</v>
      </c>
      <c r="D10" s="7"/>
      <c r="E10" s="9">
        <f>C10*B10</f>
        <v>2160</v>
      </c>
    </row>
    <row r="11" spans="1:5" x14ac:dyDescent="0.35">
      <c r="A11" s="3" t="s">
        <v>14</v>
      </c>
      <c r="B11" s="6">
        <v>0</v>
      </c>
      <c r="C11" s="6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177730.05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1200</v>
      </c>
      <c r="C16" s="6">
        <v>83.57</v>
      </c>
      <c r="D16" s="7"/>
      <c r="E16" s="11">
        <f>C16*B16</f>
        <v>100283.99999999999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1200</v>
      </c>
      <c r="C19" s="13">
        <v>0.67</v>
      </c>
      <c r="D19" s="7"/>
      <c r="E19" s="9">
        <f t="shared" ref="E19:E34" si="0">C19*B19</f>
        <v>804</v>
      </c>
    </row>
    <row r="20" spans="1:5" ht="15.5" x14ac:dyDescent="0.35">
      <c r="A20" s="3" t="s">
        <v>21</v>
      </c>
      <c r="B20" s="7">
        <v>1200</v>
      </c>
      <c r="C20" s="13">
        <v>0.75</v>
      </c>
      <c r="D20" s="7"/>
      <c r="E20" s="9">
        <f t="shared" si="0"/>
        <v>900</v>
      </c>
    </row>
    <row r="21" spans="1:5" ht="15.5" x14ac:dyDescent="0.35">
      <c r="A21" s="3" t="s">
        <v>22</v>
      </c>
      <c r="B21" s="7">
        <v>1210</v>
      </c>
      <c r="C21" s="13">
        <v>0.39</v>
      </c>
      <c r="D21" s="7"/>
      <c r="E21" s="9">
        <f t="shared" si="0"/>
        <v>471.90000000000003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1210</v>
      </c>
      <c r="C25" s="13">
        <v>3.1</v>
      </c>
      <c r="D25" s="7"/>
      <c r="E25" s="9">
        <f t="shared" si="0"/>
        <v>3751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2.4</v>
      </c>
      <c r="D28" s="7"/>
      <c r="E28" s="9">
        <f t="shared" si="0"/>
        <v>2880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60</v>
      </c>
      <c r="C30" s="6">
        <v>67</v>
      </c>
      <c r="D30" s="7"/>
      <c r="E30" s="9">
        <f t="shared" si="0"/>
        <v>4020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0.75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12829.9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290843.94999999995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242.3699583333333</v>
      </c>
    </row>
    <row r="39" spans="1:5" x14ac:dyDescent="0.35">
      <c r="A39" s="14" t="s">
        <v>40</v>
      </c>
      <c r="B39" s="15"/>
      <c r="C39" s="16"/>
      <c r="D39" s="17"/>
      <c r="E39" s="18">
        <f>D3-E37</f>
        <v>108756.05000000005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27.216228728728737</v>
      </c>
      <c r="E41" s="28">
        <f>C3-E38</f>
        <v>90.630041666666699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/>
      <c r="C44" s="35"/>
      <c r="D44" s="36"/>
      <c r="E44" s="9">
        <f>B44*C44</f>
        <v>0</v>
      </c>
    </row>
    <row r="45" spans="1:5" x14ac:dyDescent="0.35">
      <c r="A45" s="3" t="s">
        <v>45</v>
      </c>
      <c r="B45" s="37"/>
      <c r="C45" s="37"/>
      <c r="D45" s="7"/>
      <c r="E45" s="9">
        <f>C45*B45</f>
        <v>0</v>
      </c>
    </row>
    <row r="46" spans="1:5" x14ac:dyDescent="0.35">
      <c r="A46" s="3" t="s">
        <v>46</v>
      </c>
      <c r="B46" s="37"/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CEAF-0EA9-44C7-BA2D-C26D52F1F660}">
  <dimension ref="A1:E54"/>
  <sheetViews>
    <sheetView topLeftCell="A13" workbookViewId="0">
      <selection activeCell="C37" sqref="C3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61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1188</v>
      </c>
      <c r="C2" s="4">
        <v>365</v>
      </c>
      <c r="D2" s="4">
        <f>C2*B2</f>
        <v>433620</v>
      </c>
      <c r="E2" s="5"/>
    </row>
    <row r="3" spans="1:5" x14ac:dyDescent="0.35">
      <c r="A3" s="3" t="s">
        <v>7</v>
      </c>
      <c r="B3" s="4">
        <v>1188</v>
      </c>
      <c r="C3" s="4">
        <v>365</v>
      </c>
      <c r="D3" s="4">
        <f>C3*B3</f>
        <v>433620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1.9</v>
      </c>
      <c r="C7" s="6"/>
      <c r="D7" s="7"/>
      <c r="E7" s="5"/>
    </row>
    <row r="8" spans="1:5" x14ac:dyDescent="0.35">
      <c r="A8" s="3" t="s">
        <v>62</v>
      </c>
      <c r="B8" s="6">
        <v>2320</v>
      </c>
      <c r="C8" s="6">
        <v>79.66</v>
      </c>
      <c r="D8" s="7"/>
      <c r="E8" s="9">
        <f>C8*B8</f>
        <v>184811.19999999998</v>
      </c>
    </row>
    <row r="9" spans="1:5" x14ac:dyDescent="0.35">
      <c r="A9" s="3" t="s">
        <v>12</v>
      </c>
      <c r="B9" s="6">
        <v>1200</v>
      </c>
      <c r="C9" s="6">
        <v>49.5</v>
      </c>
      <c r="D9" s="7"/>
      <c r="E9" s="9">
        <f>C9*B9</f>
        <v>59400</v>
      </c>
    </row>
    <row r="10" spans="1:5" x14ac:dyDescent="0.35">
      <c r="A10" s="3" t="s">
        <v>54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244211.19999999998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1188</v>
      </c>
      <c r="C16" s="6">
        <v>65.77</v>
      </c>
      <c r="D16" s="7"/>
      <c r="E16" s="11">
        <f>C16*B16</f>
        <v>78134.759999999995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1206</v>
      </c>
      <c r="C19" s="13">
        <v>0.67</v>
      </c>
      <c r="D19" s="7"/>
      <c r="E19" s="9">
        <f t="shared" ref="E19:E34" si="0">C19*B19</f>
        <v>808.0200000000001</v>
      </c>
    </row>
    <row r="20" spans="1:5" ht="15.5" x14ac:dyDescent="0.35">
      <c r="A20" s="3" t="s">
        <v>21</v>
      </c>
      <c r="B20" s="7">
        <v>1206</v>
      </c>
      <c r="C20" s="13">
        <v>0.75</v>
      </c>
      <c r="D20" s="7"/>
      <c r="E20" s="9">
        <f t="shared" si="0"/>
        <v>904.5</v>
      </c>
    </row>
    <row r="21" spans="1:5" ht="15.5" x14ac:dyDescent="0.35">
      <c r="A21" s="3" t="s">
        <v>22</v>
      </c>
      <c r="B21" s="7">
        <v>1220</v>
      </c>
      <c r="C21" s="13">
        <v>0.39</v>
      </c>
      <c r="D21" s="7"/>
      <c r="E21" s="9">
        <f t="shared" si="0"/>
        <v>475.8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1220</v>
      </c>
      <c r="C25" s="13">
        <v>3.1</v>
      </c>
      <c r="D25" s="7"/>
      <c r="E25" s="9">
        <f t="shared" si="0"/>
        <v>3782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2.0499999999999998</v>
      </c>
      <c r="D28" s="7"/>
      <c r="E28" s="9">
        <f t="shared" si="0"/>
        <v>2460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10644.32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332990.27999999997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280.29484848484844</v>
      </c>
    </row>
    <row r="39" spans="1:5" x14ac:dyDescent="0.35">
      <c r="A39" s="14" t="s">
        <v>40</v>
      </c>
      <c r="B39" s="15"/>
      <c r="C39" s="16"/>
      <c r="D39" s="17"/>
      <c r="E39" s="18">
        <f>D3-E37</f>
        <v>100629.72000000003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23.206890826068918</v>
      </c>
      <c r="E41" s="28">
        <f>C3-E38</f>
        <v>84.705151515151556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7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29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7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6061-0115-4D52-A3D5-EE5E30B96D77}">
  <dimension ref="A1:G54"/>
  <sheetViews>
    <sheetView topLeftCell="A23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63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1218</v>
      </c>
      <c r="C2" s="4">
        <v>280.3</v>
      </c>
      <c r="D2" s="4">
        <f>C2*B2</f>
        <v>341405.4</v>
      </c>
      <c r="E2" s="5"/>
      <c r="G2" t="s">
        <v>65</v>
      </c>
    </row>
    <row r="3" spans="1:7" x14ac:dyDescent="0.35">
      <c r="A3" s="3" t="s">
        <v>7</v>
      </c>
      <c r="B3" s="4">
        <v>1185</v>
      </c>
      <c r="C3" s="4">
        <v>280.3</v>
      </c>
      <c r="D3" s="4">
        <f>C3*B3</f>
        <v>332155.5</v>
      </c>
      <c r="E3" s="5"/>
      <c r="G3" t="s">
        <v>66</v>
      </c>
    </row>
    <row r="4" spans="1:7" x14ac:dyDescent="0.35">
      <c r="A4" s="3"/>
      <c r="B4" s="6"/>
      <c r="C4" s="6"/>
      <c r="D4" s="6"/>
      <c r="E4" s="5"/>
      <c r="G4" t="s">
        <v>67</v>
      </c>
    </row>
    <row r="5" spans="1:7" x14ac:dyDescent="0.35">
      <c r="A5" s="3"/>
      <c r="B5" s="7"/>
      <c r="C5" s="6"/>
      <c r="D5" s="7"/>
      <c r="E5" s="5"/>
      <c r="G5" t="s">
        <v>68</v>
      </c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1.46</v>
      </c>
      <c r="C7" s="6"/>
      <c r="D7" s="7"/>
      <c r="E7" s="5"/>
    </row>
    <row r="8" spans="1:7" x14ac:dyDescent="0.35">
      <c r="A8" s="3" t="s">
        <v>64</v>
      </c>
      <c r="B8" s="6">
        <v>1804</v>
      </c>
      <c r="C8" s="6">
        <v>75.3</v>
      </c>
      <c r="D8" s="7"/>
      <c r="E8" s="9">
        <f>C8*B8</f>
        <v>135841.19999999998</v>
      </c>
    </row>
    <row r="9" spans="1:7" x14ac:dyDescent="0.35">
      <c r="A9" s="3" t="s">
        <v>12</v>
      </c>
      <c r="B9" s="6">
        <v>0</v>
      </c>
      <c r="C9" s="6">
        <v>0</v>
      </c>
      <c r="D9" s="7"/>
      <c r="E9" s="9">
        <f>C9*B9</f>
        <v>0</v>
      </c>
    </row>
    <row r="10" spans="1:7" x14ac:dyDescent="0.35">
      <c r="A10" s="3" t="s">
        <v>54</v>
      </c>
      <c r="B10" s="6">
        <v>0</v>
      </c>
      <c r="C10" s="10">
        <v>0</v>
      </c>
      <c r="D10" s="7"/>
      <c r="E10" s="9">
        <f>C10*B10</f>
        <v>0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135841.19999999998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1185</v>
      </c>
      <c r="C16" s="6">
        <v>68.400000000000006</v>
      </c>
      <c r="D16" s="7"/>
      <c r="E16" s="11">
        <f>C16*B16</f>
        <v>81054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1223</v>
      </c>
      <c r="C19" s="13">
        <v>0.67</v>
      </c>
      <c r="D19" s="7"/>
      <c r="E19" s="9">
        <f t="shared" ref="E19:E34" si="0">C19*B19</f>
        <v>819.41000000000008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1240</v>
      </c>
      <c r="C21" s="13">
        <v>0.39</v>
      </c>
      <c r="D21" s="7"/>
      <c r="E21" s="9">
        <f t="shared" si="0"/>
        <v>483.6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93</v>
      </c>
      <c r="C23" s="13">
        <v>74</v>
      </c>
      <c r="D23" s="7"/>
      <c r="E23" s="9">
        <f t="shared" si="0"/>
        <v>6882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1240</v>
      </c>
      <c r="C25" s="13">
        <v>3.1</v>
      </c>
      <c r="D25" s="7"/>
      <c r="E25" s="9">
        <f t="shared" si="0"/>
        <v>3844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1185</v>
      </c>
      <c r="C28" s="13">
        <v>2.0499999999999998</v>
      </c>
      <c r="D28" s="7"/>
      <c r="E28" s="9">
        <f t="shared" si="0"/>
        <v>2429.25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24</v>
      </c>
      <c r="C30" s="6">
        <v>67</v>
      </c>
      <c r="D30" s="7"/>
      <c r="E30" s="9">
        <f t="shared" si="0"/>
        <v>1608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16066.26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232961.46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196.5919493670886</v>
      </c>
    </row>
    <row r="39" spans="1:5" x14ac:dyDescent="0.35">
      <c r="A39" s="14" t="s">
        <v>40</v>
      </c>
      <c r="B39" s="15"/>
      <c r="C39" s="16"/>
      <c r="D39" s="17"/>
      <c r="E39" s="18">
        <f>D3-E37</f>
        <v>99194.040000000008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29.863735509422547</v>
      </c>
      <c r="E41" s="28">
        <f>C3-E38</f>
        <v>83.708050632911409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18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25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DAB9-D9A3-489F-96E4-25833CDB7853}">
  <dimension ref="A1:G54"/>
  <sheetViews>
    <sheetView topLeftCell="A25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69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1644</v>
      </c>
      <c r="C2" s="4">
        <v>370.7</v>
      </c>
      <c r="D2" s="4">
        <f>C2*B2</f>
        <v>609430.79999999993</v>
      </c>
      <c r="E2" s="5"/>
      <c r="G2" t="s">
        <v>71</v>
      </c>
    </row>
    <row r="3" spans="1:7" x14ac:dyDescent="0.35">
      <c r="A3" s="3" t="s">
        <v>7</v>
      </c>
      <c r="B3" s="4">
        <v>1644</v>
      </c>
      <c r="C3" s="4">
        <v>370.7</v>
      </c>
      <c r="D3" s="4">
        <f>C3*B3</f>
        <v>609430.79999999993</v>
      </c>
      <c r="E3" s="5"/>
      <c r="G3" t="s">
        <v>70</v>
      </c>
    </row>
    <row r="4" spans="1:7" x14ac:dyDescent="0.35">
      <c r="A4" s="3"/>
      <c r="B4" s="6"/>
      <c r="C4" s="6"/>
      <c r="D4" s="6"/>
      <c r="E4" s="5"/>
      <c r="G4" t="s">
        <v>73</v>
      </c>
    </row>
    <row r="5" spans="1:7" x14ac:dyDescent="0.35">
      <c r="A5" s="3"/>
      <c r="B5" s="7"/>
      <c r="C5" s="6"/>
      <c r="D5" s="7"/>
      <c r="E5" s="5"/>
      <c r="G5" t="s">
        <v>72</v>
      </c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1.6</v>
      </c>
      <c r="C7" s="6"/>
      <c r="D7" s="7"/>
      <c r="E7" s="5"/>
    </row>
    <row r="8" spans="1:7" x14ac:dyDescent="0.35">
      <c r="A8" s="3" t="s">
        <v>74</v>
      </c>
      <c r="B8" s="6">
        <v>2900</v>
      </c>
      <c r="C8" s="6">
        <v>92.27</v>
      </c>
      <c r="D8" s="7"/>
      <c r="E8" s="9">
        <f>C8*B8</f>
        <v>267583</v>
      </c>
    </row>
    <row r="9" spans="1:7" x14ac:dyDescent="0.35">
      <c r="A9" s="3" t="s">
        <v>75</v>
      </c>
      <c r="B9" s="6">
        <v>1660</v>
      </c>
      <c r="C9" s="6">
        <v>4.5</v>
      </c>
      <c r="D9" s="7"/>
      <c r="E9" s="9">
        <f>C9*B9</f>
        <v>7470</v>
      </c>
    </row>
    <row r="10" spans="1:7" x14ac:dyDescent="0.35">
      <c r="A10" s="3" t="s">
        <v>76</v>
      </c>
      <c r="B10" s="6">
        <v>837</v>
      </c>
      <c r="C10" s="10">
        <v>10</v>
      </c>
      <c r="D10" s="7"/>
      <c r="E10" s="9">
        <f>C10*B10</f>
        <v>8370</v>
      </c>
    </row>
    <row r="11" spans="1:7" x14ac:dyDescent="0.35">
      <c r="A11" s="3" t="s">
        <v>77</v>
      </c>
      <c r="B11" s="6">
        <v>2200</v>
      </c>
      <c r="C11" s="10">
        <v>25</v>
      </c>
      <c r="D11" s="7"/>
      <c r="E11" s="9">
        <f>C11*B11</f>
        <v>55000</v>
      </c>
    </row>
    <row r="12" spans="1:7" x14ac:dyDescent="0.35">
      <c r="A12" s="3" t="s">
        <v>54</v>
      </c>
      <c r="B12" s="6">
        <v>0</v>
      </c>
      <c r="C12" s="6">
        <v>0</v>
      </c>
      <c r="D12" s="7"/>
      <c r="E12" s="9">
        <f>C12*B12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338423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1644</v>
      </c>
      <c r="C16" s="6">
        <v>75.099999999999994</v>
      </c>
      <c r="D16" s="7"/>
      <c r="E16" s="11">
        <f>C16*B16</f>
        <v>123464.4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1675</v>
      </c>
      <c r="C19" s="13">
        <v>0.67</v>
      </c>
      <c r="D19" s="7"/>
      <c r="E19" s="9">
        <f t="shared" ref="E19:E34" si="0">C19*B19</f>
        <v>1122.25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1680</v>
      </c>
      <c r="C21" s="13">
        <v>0.39</v>
      </c>
      <c r="D21" s="7"/>
      <c r="E21" s="9">
        <f t="shared" si="0"/>
        <v>655.20000000000005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17</v>
      </c>
      <c r="C23" s="13">
        <v>50</v>
      </c>
      <c r="D23" s="7"/>
      <c r="E23" s="9">
        <f t="shared" si="0"/>
        <v>850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1670</v>
      </c>
      <c r="C25" s="13">
        <v>3.1</v>
      </c>
      <c r="D25" s="7"/>
      <c r="E25" s="9">
        <f t="shared" si="0"/>
        <v>5177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1644</v>
      </c>
      <c r="C28" s="13">
        <v>1.95</v>
      </c>
      <c r="D28" s="7"/>
      <c r="E28" s="9">
        <f t="shared" si="0"/>
        <v>3205.7999999999997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13221.25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475108.65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288.99552919708032</v>
      </c>
    </row>
    <row r="39" spans="1:5" x14ac:dyDescent="0.35">
      <c r="A39" s="14" t="s">
        <v>40</v>
      </c>
      <c r="B39" s="15"/>
      <c r="C39" s="16"/>
      <c r="D39" s="17"/>
      <c r="E39" s="18">
        <f>D3-E37</f>
        <v>134322.14999999991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22.040590990806496</v>
      </c>
      <c r="E41" s="28">
        <f>C3-E38</f>
        <v>81.704470802919673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78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27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E7AD-41A0-45CD-85E6-808C78AA41AE}">
  <dimension ref="A1:E54"/>
  <sheetViews>
    <sheetView topLeftCell="A10" workbookViewId="0">
      <selection activeCell="C34" sqref="C34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78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1218</v>
      </c>
      <c r="C2" s="4">
        <v>335.72</v>
      </c>
      <c r="D2" s="4">
        <f>C2*B2</f>
        <v>408906.96</v>
      </c>
      <c r="E2" s="5"/>
    </row>
    <row r="3" spans="1:5" x14ac:dyDescent="0.35">
      <c r="A3" s="3" t="s">
        <v>7</v>
      </c>
      <c r="B3" s="4">
        <v>1218</v>
      </c>
      <c r="C3" s="4">
        <v>335.72</v>
      </c>
      <c r="D3" s="4">
        <f>C3*B3</f>
        <v>408906.96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1.46</v>
      </c>
      <c r="C7" s="6"/>
      <c r="D7" s="7"/>
      <c r="E7" s="5"/>
    </row>
    <row r="8" spans="1:5" x14ac:dyDescent="0.35">
      <c r="A8" s="3" t="s">
        <v>74</v>
      </c>
      <c r="B8" s="6">
        <v>1860</v>
      </c>
      <c r="C8" s="6">
        <v>92.78</v>
      </c>
      <c r="D8" s="7"/>
      <c r="E8" s="9">
        <f>C8*B8</f>
        <v>172570.8</v>
      </c>
    </row>
    <row r="9" spans="1:5" x14ac:dyDescent="0.35">
      <c r="A9" s="3" t="s">
        <v>75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1635</v>
      </c>
      <c r="C11" s="10">
        <v>35</v>
      </c>
      <c r="D11" s="7"/>
      <c r="E11" s="9">
        <f>C11*B11</f>
        <v>57225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229795.8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1218</v>
      </c>
      <c r="C16" s="6">
        <v>74.36</v>
      </c>
      <c r="D16" s="7"/>
      <c r="E16" s="11">
        <f>C16*B16</f>
        <v>90570.48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1675</v>
      </c>
      <c r="C19" s="13">
        <v>0.67</v>
      </c>
      <c r="D19" s="7"/>
      <c r="E19" s="9">
        <f t="shared" ref="E19:E34" si="0">C19*B19</f>
        <v>1122.25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1680</v>
      </c>
      <c r="C21" s="13">
        <v>0.39</v>
      </c>
      <c r="D21" s="7"/>
      <c r="E21" s="9">
        <f t="shared" si="0"/>
        <v>655.20000000000005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1670</v>
      </c>
      <c r="C25" s="13">
        <v>3.1</v>
      </c>
      <c r="D25" s="7"/>
      <c r="E25" s="9">
        <f t="shared" si="0"/>
        <v>5177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1644</v>
      </c>
      <c r="C28" s="13">
        <v>1.95</v>
      </c>
      <c r="D28" s="7"/>
      <c r="E28" s="9">
        <f t="shared" si="0"/>
        <v>3205.7999999999997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12371.25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332737.52999999997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273.18352216748764</v>
      </c>
    </row>
    <row r="39" spans="1:5" x14ac:dyDescent="0.35">
      <c r="A39" s="14" t="s">
        <v>40</v>
      </c>
      <c r="B39" s="15"/>
      <c r="C39" s="16"/>
      <c r="D39" s="17"/>
      <c r="E39" s="18">
        <f>D3-E37</f>
        <v>76169.430000000051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18.627569948919454</v>
      </c>
      <c r="E41" s="28">
        <f>C3-E38</f>
        <v>62.536477832512389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88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20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D5A3-DEE5-4432-AA6E-BE769BC2710B}">
  <dimension ref="A1:E54"/>
  <sheetViews>
    <sheetView topLeftCell="A24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1888</v>
      </c>
      <c r="C2" s="4">
        <v>360.27</v>
      </c>
      <c r="D2" s="4">
        <f>C2*B2</f>
        <v>680189.76</v>
      </c>
      <c r="E2" s="5"/>
    </row>
    <row r="3" spans="1:5" x14ac:dyDescent="0.35">
      <c r="A3" s="3" t="s">
        <v>7</v>
      </c>
      <c r="B3" s="4">
        <v>1872</v>
      </c>
      <c r="C3" s="4">
        <v>360.27</v>
      </c>
      <c r="D3" s="4">
        <f>C3*B3</f>
        <v>674425.44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</v>
      </c>
      <c r="C7" s="6"/>
      <c r="D7" s="7"/>
      <c r="E7" s="5"/>
    </row>
    <row r="8" spans="1:5" x14ac:dyDescent="0.35">
      <c r="A8" s="3" t="s">
        <v>74</v>
      </c>
      <c r="B8" s="6">
        <v>3200</v>
      </c>
      <c r="C8" s="6">
        <v>92.27</v>
      </c>
      <c r="D8" s="7"/>
      <c r="E8" s="9">
        <f>C8*B8</f>
        <v>295264</v>
      </c>
    </row>
    <row r="9" spans="1:5" x14ac:dyDescent="0.35">
      <c r="A9" s="3" t="s">
        <v>75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3450</v>
      </c>
      <c r="C11" s="10">
        <v>25</v>
      </c>
      <c r="D11" s="7"/>
      <c r="E11" s="9">
        <f>C11*B11</f>
        <v>86250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381514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1872</v>
      </c>
      <c r="C16" s="6">
        <v>74.36</v>
      </c>
      <c r="D16" s="7"/>
      <c r="E16" s="11">
        <f>C16*B16</f>
        <v>139201.92000000001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1900</v>
      </c>
      <c r="C19" s="13">
        <v>0.67</v>
      </c>
      <c r="D19" s="7"/>
      <c r="E19" s="9">
        <f t="shared" ref="E19:E34" si="0">C19*B19</f>
        <v>1273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1900</v>
      </c>
      <c r="C21" s="13">
        <v>0.39</v>
      </c>
      <c r="D21" s="7"/>
      <c r="E21" s="9">
        <f t="shared" si="0"/>
        <v>741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1900</v>
      </c>
      <c r="C25" s="13">
        <v>3.1</v>
      </c>
      <c r="D25" s="7"/>
      <c r="E25" s="9">
        <f t="shared" si="0"/>
        <v>5890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1872</v>
      </c>
      <c r="C28" s="13">
        <v>1.95</v>
      </c>
      <c r="D28" s="7"/>
      <c r="E28" s="9">
        <f t="shared" si="0"/>
        <v>3650.4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37</v>
      </c>
      <c r="C30" s="6">
        <v>67</v>
      </c>
      <c r="D30" s="7"/>
      <c r="E30" s="9">
        <f t="shared" si="0"/>
        <v>2479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14033.4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534749.32000000007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285.65668803418805</v>
      </c>
    </row>
    <row r="39" spans="1:5" x14ac:dyDescent="0.35">
      <c r="A39" s="14" t="s">
        <v>40</v>
      </c>
      <c r="B39" s="15"/>
      <c r="C39" s="16"/>
      <c r="D39" s="17"/>
      <c r="E39" s="18">
        <f>D3-E37</f>
        <v>139676.11999999988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20.710387200103238</v>
      </c>
      <c r="E41" s="28">
        <f>C3-E38</f>
        <v>74.613311965811931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88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20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A526-E21A-487B-988E-697C0C89AA64}">
  <dimension ref="A1:E54"/>
  <sheetViews>
    <sheetView topLeftCell="A26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79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1644</v>
      </c>
      <c r="C2" s="4">
        <v>352.69</v>
      </c>
      <c r="D2" s="4">
        <f>C2*B2</f>
        <v>579822.36</v>
      </c>
      <c r="E2" s="5"/>
    </row>
    <row r="3" spans="1:5" x14ac:dyDescent="0.35">
      <c r="A3" s="3" t="s">
        <v>7</v>
      </c>
      <c r="B3" s="4">
        <v>1644</v>
      </c>
      <c r="C3" s="4">
        <v>352.69</v>
      </c>
      <c r="D3" s="4">
        <f>C3*B3</f>
        <v>579822.36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</v>
      </c>
      <c r="C7" s="6"/>
      <c r="D7" s="7"/>
      <c r="E7" s="5"/>
    </row>
    <row r="8" spans="1:5" x14ac:dyDescent="0.35">
      <c r="A8" s="3" t="s">
        <v>74</v>
      </c>
      <c r="B8" s="6">
        <v>2800</v>
      </c>
      <c r="C8" s="6">
        <v>92.27</v>
      </c>
      <c r="D8" s="7"/>
      <c r="E8" s="9">
        <f>C8*B8</f>
        <v>258356</v>
      </c>
    </row>
    <row r="9" spans="1:5" x14ac:dyDescent="0.35">
      <c r="A9" s="3" t="s">
        <v>75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3450</v>
      </c>
      <c r="C11" s="10">
        <v>12</v>
      </c>
      <c r="D11" s="7"/>
      <c r="E11" s="9">
        <f>C11*B11</f>
        <v>41400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299756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1644</v>
      </c>
      <c r="C16" s="6">
        <v>75.099999999999994</v>
      </c>
      <c r="D16" s="7"/>
      <c r="E16" s="11">
        <f>C16*B16</f>
        <v>123464.4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1662</v>
      </c>
      <c r="C19" s="13">
        <v>0.67</v>
      </c>
      <c r="D19" s="7"/>
      <c r="E19" s="9">
        <f t="shared" ref="E19:E34" si="0">C19*B19</f>
        <v>1113.54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1670</v>
      </c>
      <c r="C21" s="13">
        <v>0.39</v>
      </c>
      <c r="D21" s="7"/>
      <c r="E21" s="9">
        <f t="shared" si="0"/>
        <v>651.30000000000007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1670</v>
      </c>
      <c r="C25" s="13">
        <v>3.1</v>
      </c>
      <c r="D25" s="7"/>
      <c r="E25" s="9">
        <f t="shared" si="0"/>
        <v>5177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1644</v>
      </c>
      <c r="C28" s="13">
        <v>1.95</v>
      </c>
      <c r="D28" s="7"/>
      <c r="E28" s="9">
        <f t="shared" si="0"/>
        <v>3205.7999999999997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12358.64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435579.04000000004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264.95075425790759</v>
      </c>
    </row>
    <row r="39" spans="1:5" x14ac:dyDescent="0.35">
      <c r="A39" s="14" t="s">
        <v>40</v>
      </c>
      <c r="B39" s="15"/>
      <c r="C39" s="16"/>
      <c r="D39" s="17"/>
      <c r="E39" s="18">
        <f>D3-E37</f>
        <v>144243.31999999995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24.877157203802888</v>
      </c>
      <c r="E41" s="28">
        <f>C3-E38</f>
        <v>87.739245742092407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32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14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2FE6-B818-43B9-A6ED-1B19587FC64B}">
  <dimension ref="A1:E54"/>
  <sheetViews>
    <sheetView topLeftCell="A25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2201</v>
      </c>
      <c r="C2" s="4">
        <v>288.38</v>
      </c>
      <c r="D2" s="4">
        <f>C2*B2</f>
        <v>634724.38</v>
      </c>
      <c r="E2" s="5"/>
    </row>
    <row r="3" spans="1:5" x14ac:dyDescent="0.35">
      <c r="A3" s="3" t="s">
        <v>7</v>
      </c>
      <c r="B3" s="4">
        <v>2201</v>
      </c>
      <c r="C3" s="4">
        <v>288.38</v>
      </c>
      <c r="D3" s="4">
        <f>C3*B3</f>
        <v>634724.38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</v>
      </c>
      <c r="C7" s="6"/>
      <c r="D7" s="7"/>
      <c r="E7" s="5"/>
    </row>
    <row r="8" spans="1:5" x14ac:dyDescent="0.35">
      <c r="A8" s="3" t="s">
        <v>82</v>
      </c>
      <c r="B8" s="6">
        <v>2840</v>
      </c>
      <c r="C8" s="6">
        <v>66.41</v>
      </c>
      <c r="D8" s="7"/>
      <c r="E8" s="9">
        <f>C8*B8</f>
        <v>188604.4</v>
      </c>
    </row>
    <row r="9" spans="1:5" x14ac:dyDescent="0.35">
      <c r="A9" s="3" t="s">
        <v>83</v>
      </c>
      <c r="B9" s="6">
        <v>835</v>
      </c>
      <c r="C9" s="6">
        <v>138.16</v>
      </c>
      <c r="D9" s="7"/>
      <c r="E9" s="9">
        <f>C9*B9</f>
        <v>115363.59999999999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303968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2201</v>
      </c>
      <c r="C16" s="6">
        <v>68.33</v>
      </c>
      <c r="D16" s="7"/>
      <c r="E16" s="11">
        <f>C16*B16</f>
        <v>150394.32999999999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2225</v>
      </c>
      <c r="C19" s="13">
        <v>0.67</v>
      </c>
      <c r="D19" s="7"/>
      <c r="E19" s="9">
        <f t="shared" ref="E19:E34" si="0">C19*B19</f>
        <v>1490.75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2230</v>
      </c>
      <c r="C21" s="13">
        <v>0.39</v>
      </c>
      <c r="D21" s="7"/>
      <c r="E21" s="9">
        <f t="shared" si="0"/>
        <v>869.7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2230</v>
      </c>
      <c r="C25" s="13">
        <v>3.1</v>
      </c>
      <c r="D25" s="7"/>
      <c r="E25" s="9">
        <f t="shared" si="0"/>
        <v>6913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2201</v>
      </c>
      <c r="C28" s="13">
        <v>1.95</v>
      </c>
      <c r="D28" s="7"/>
      <c r="E28" s="9">
        <f t="shared" si="0"/>
        <v>4291.95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44</v>
      </c>
      <c r="C30" s="6">
        <v>67</v>
      </c>
      <c r="D30" s="7"/>
      <c r="E30" s="9">
        <f t="shared" si="0"/>
        <v>2948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16513.400000000001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470875.73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213.93717855520217</v>
      </c>
    </row>
    <row r="39" spans="1:5" x14ac:dyDescent="0.35">
      <c r="A39" s="14" t="s">
        <v>40</v>
      </c>
      <c r="B39" s="15"/>
      <c r="C39" s="16"/>
      <c r="D39" s="17"/>
      <c r="E39" s="18">
        <f>D3-E37</f>
        <v>163848.65000000002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25.81414156487892</v>
      </c>
      <c r="E41" s="28">
        <f>C3-E38</f>
        <v>74.442821444797829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32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14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4CDE-D220-468A-9E86-AF3DAF5C935A}">
  <dimension ref="A1:E54"/>
  <sheetViews>
    <sheetView topLeftCell="A27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84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2201</v>
      </c>
      <c r="C2" s="4">
        <v>288.38</v>
      </c>
      <c r="D2" s="4">
        <f>C2*B2</f>
        <v>634724.38</v>
      </c>
      <c r="E2" s="5"/>
    </row>
    <row r="3" spans="1:5" x14ac:dyDescent="0.35">
      <c r="A3" s="3" t="s">
        <v>7</v>
      </c>
      <c r="B3" s="4">
        <v>2201</v>
      </c>
      <c r="C3" s="4">
        <v>288.38</v>
      </c>
      <c r="D3" s="4">
        <f>C3*B3</f>
        <v>634724.38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1.1599999999999999</v>
      </c>
      <c r="C7" s="6"/>
      <c r="D7" s="7"/>
      <c r="E7" s="5"/>
    </row>
    <row r="8" spans="1:5" x14ac:dyDescent="0.35">
      <c r="A8" s="3" t="s">
        <v>82</v>
      </c>
      <c r="B8" s="6">
        <v>2840</v>
      </c>
      <c r="C8" s="6">
        <v>66.41</v>
      </c>
      <c r="D8" s="7"/>
      <c r="E8" s="9">
        <f>C8*B8</f>
        <v>188604.4</v>
      </c>
    </row>
    <row r="9" spans="1:5" x14ac:dyDescent="0.35">
      <c r="A9" s="3" t="s">
        <v>83</v>
      </c>
      <c r="B9" s="6">
        <v>835</v>
      </c>
      <c r="C9" s="6">
        <v>138.16</v>
      </c>
      <c r="D9" s="7"/>
      <c r="E9" s="9">
        <f>C9*B9</f>
        <v>115363.59999999999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303968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2201</v>
      </c>
      <c r="C16" s="6">
        <v>68.33</v>
      </c>
      <c r="D16" s="7"/>
      <c r="E16" s="11">
        <f>C16*B16</f>
        <v>150394.32999999999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2225</v>
      </c>
      <c r="C19" s="13">
        <v>0.67</v>
      </c>
      <c r="D19" s="7"/>
      <c r="E19" s="9">
        <f t="shared" ref="E19:E34" si="0">C19*B19</f>
        <v>1490.75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2230</v>
      </c>
      <c r="C21" s="13">
        <v>0.39</v>
      </c>
      <c r="D21" s="7"/>
      <c r="E21" s="9">
        <f t="shared" si="0"/>
        <v>869.7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2230</v>
      </c>
      <c r="C25" s="13">
        <v>3.1</v>
      </c>
      <c r="D25" s="7"/>
      <c r="E25" s="9">
        <f t="shared" si="0"/>
        <v>6913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2201</v>
      </c>
      <c r="C28" s="13">
        <v>1.95</v>
      </c>
      <c r="D28" s="7"/>
      <c r="E28" s="9">
        <f t="shared" si="0"/>
        <v>4291.95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44</v>
      </c>
      <c r="C30" s="6">
        <v>67</v>
      </c>
      <c r="D30" s="7"/>
      <c r="E30" s="9">
        <f t="shared" si="0"/>
        <v>2948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16513.400000000001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470875.73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213.93717855520217</v>
      </c>
    </row>
    <row r="39" spans="1:5" x14ac:dyDescent="0.35">
      <c r="A39" s="14" t="s">
        <v>40</v>
      </c>
      <c r="B39" s="15"/>
      <c r="C39" s="16"/>
      <c r="D39" s="17"/>
      <c r="E39" s="18">
        <f>D3-E37</f>
        <v>163848.65000000002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25.81414156487892</v>
      </c>
      <c r="E41" s="28">
        <f>C3-E38</f>
        <v>74.442821444797829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32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14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535E-DFD8-46C3-9902-4E6B5E5269B5}">
  <dimension ref="A1:E54"/>
  <sheetViews>
    <sheetView topLeftCell="A28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1229</v>
      </c>
      <c r="C2" s="4">
        <v>580.52</v>
      </c>
      <c r="D2" s="4">
        <f>C2*B2</f>
        <v>713459.08</v>
      </c>
      <c r="E2" s="5"/>
    </row>
    <row r="3" spans="1:5" x14ac:dyDescent="0.35">
      <c r="A3" s="3" t="s">
        <v>7</v>
      </c>
      <c r="B3" s="4">
        <v>1229</v>
      </c>
      <c r="C3" s="4">
        <v>580.52</v>
      </c>
      <c r="D3" s="4">
        <f>C3*B3</f>
        <v>713459.08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f>1.93+0.24+1.26</f>
        <v>3.4299999999999997</v>
      </c>
      <c r="C7" s="6"/>
      <c r="D7" s="7"/>
      <c r="E7" s="5"/>
    </row>
    <row r="8" spans="1:5" x14ac:dyDescent="0.35">
      <c r="A8" s="3" t="s">
        <v>82</v>
      </c>
      <c r="B8" s="6">
        <v>4412</v>
      </c>
      <c r="C8" s="6">
        <v>78.23</v>
      </c>
      <c r="D8" s="7"/>
      <c r="E8" s="9">
        <f>C8*B8</f>
        <v>345150.76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87</v>
      </c>
      <c r="B10" s="6">
        <v>1240</v>
      </c>
      <c r="C10" s="10">
        <v>49.5</v>
      </c>
      <c r="D10" s="7"/>
      <c r="E10" s="9">
        <f>C10*B10</f>
        <v>61380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406530.76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86</v>
      </c>
      <c r="B16" s="7">
        <v>1229</v>
      </c>
      <c r="C16" s="6">
        <v>69.63</v>
      </c>
      <c r="D16" s="7"/>
      <c r="E16" s="11">
        <f>C16*B16</f>
        <v>85575.26999999999</v>
      </c>
    </row>
    <row r="17" spans="1:5" x14ac:dyDescent="0.35">
      <c r="A17" s="8" t="s">
        <v>88</v>
      </c>
      <c r="B17" s="7">
        <v>1229</v>
      </c>
      <c r="C17" s="12">
        <v>57.72</v>
      </c>
      <c r="D17" s="7"/>
      <c r="E17" s="11">
        <f>C17*B17</f>
        <v>70937.88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2508</v>
      </c>
      <c r="C19" s="13">
        <v>0.67</v>
      </c>
      <c r="D19" s="7"/>
      <c r="E19" s="9">
        <f t="shared" ref="E19:E34" si="0">C19*B19</f>
        <v>1680.3600000000001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2500</v>
      </c>
      <c r="C21" s="13">
        <v>0.39</v>
      </c>
      <c r="D21" s="7"/>
      <c r="E21" s="9">
        <f t="shared" si="0"/>
        <v>975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1245</v>
      </c>
      <c r="C25" s="13">
        <v>3.1</v>
      </c>
      <c r="D25" s="7"/>
      <c r="E25" s="9">
        <f t="shared" si="0"/>
        <v>3859.5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1229</v>
      </c>
      <c r="C28" s="13">
        <v>1.95</v>
      </c>
      <c r="D28" s="7"/>
      <c r="E28" s="9">
        <f t="shared" si="0"/>
        <v>2396.5499999999997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44</v>
      </c>
      <c r="C30" s="6">
        <v>67</v>
      </c>
      <c r="D30" s="7"/>
      <c r="E30" s="9">
        <f t="shared" si="0"/>
        <v>2948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11859.41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SUM(E35,E14,E16,E17,E36)-D4</f>
        <v>574903.31999999995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467.78138323840517</v>
      </c>
    </row>
    <row r="39" spans="1:5" x14ac:dyDescent="0.35">
      <c r="A39" s="14" t="s">
        <v>40</v>
      </c>
      <c r="B39" s="15"/>
      <c r="C39" s="16"/>
      <c r="D39" s="17"/>
      <c r="E39" s="18">
        <f>D3-E37</f>
        <v>138555.76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19.420281258457042</v>
      </c>
      <c r="E41" s="28">
        <f>C3-E38</f>
        <v>112.73861676159481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28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116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CD70-67C7-436C-836F-2FDCFAEADE6C}">
  <dimension ref="A1:E54"/>
  <sheetViews>
    <sheetView topLeftCell="A29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226.6</v>
      </c>
      <c r="D2" s="4">
        <f>C2*B2</f>
        <v>453200</v>
      </c>
      <c r="E2" s="5"/>
    </row>
    <row r="3" spans="1:5" x14ac:dyDescent="0.35">
      <c r="A3" s="3" t="s">
        <v>7</v>
      </c>
      <c r="B3" s="4">
        <v>1994</v>
      </c>
      <c r="C3" s="4">
        <v>226.6</v>
      </c>
      <c r="D3" s="4">
        <f>C3*B3</f>
        <v>451840.39999999997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1.57</v>
      </c>
      <c r="C7" s="6"/>
      <c r="D7" s="7"/>
      <c r="E7" s="5"/>
    </row>
    <row r="8" spans="1:5" x14ac:dyDescent="0.35">
      <c r="A8" s="3" t="s">
        <v>94</v>
      </c>
      <c r="B8" s="6">
        <v>3162</v>
      </c>
      <c r="C8" s="6">
        <v>68.05</v>
      </c>
      <c r="D8" s="7"/>
      <c r="E8" s="9">
        <f>C8*B8</f>
        <v>215174.09999999998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215174.09999999998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1994</v>
      </c>
      <c r="C16" s="6">
        <v>58.67</v>
      </c>
      <c r="D16" s="7"/>
      <c r="E16" s="11">
        <f>C16*B16</f>
        <v>116987.98000000001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2014</v>
      </c>
      <c r="C19" s="13">
        <v>0.67</v>
      </c>
      <c r="D19" s="7"/>
      <c r="E19" s="9">
        <f t="shared" ref="E19:E34" si="0">C19*B19</f>
        <v>1349.38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2020</v>
      </c>
      <c r="C21" s="13">
        <v>0.39</v>
      </c>
      <c r="D21" s="7"/>
      <c r="E21" s="9">
        <f t="shared" si="0"/>
        <v>787.80000000000007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56</v>
      </c>
      <c r="C23" s="13">
        <v>74</v>
      </c>
      <c r="D23" s="7"/>
      <c r="E23" s="9">
        <f t="shared" si="0"/>
        <v>4144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2020</v>
      </c>
      <c r="C25" s="13">
        <v>3.1</v>
      </c>
      <c r="D25" s="7"/>
      <c r="E25" s="9">
        <f t="shared" si="0"/>
        <v>6262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1994</v>
      </c>
      <c r="C28" s="13">
        <v>1.95</v>
      </c>
      <c r="D28" s="7"/>
      <c r="E28" s="9">
        <f t="shared" si="0"/>
        <v>3888.2999999999997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40</v>
      </c>
      <c r="C30" s="6">
        <v>67</v>
      </c>
      <c r="D30" s="7"/>
      <c r="E30" s="9">
        <f t="shared" si="0"/>
        <v>2680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19111.48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351273.56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176.16527582748245</v>
      </c>
    </row>
    <row r="39" spans="1:5" x14ac:dyDescent="0.35">
      <c r="A39" s="14" t="s">
        <v>40</v>
      </c>
      <c r="B39" s="15"/>
      <c r="C39" s="16"/>
      <c r="D39" s="17"/>
      <c r="E39" s="18">
        <f>D3-E37</f>
        <v>100566.83999999997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22.257159829001566</v>
      </c>
      <c r="E41" s="28">
        <f>C3-E38</f>
        <v>50.434724172517548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666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41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4BC9-FC80-44E3-845C-5D647F597867}">
  <dimension ref="A1:E54"/>
  <sheetViews>
    <sheetView topLeftCell="A31" workbookViewId="0">
      <selection activeCell="B46" sqref="B46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455</v>
      </c>
      <c r="D2" s="4">
        <f>C2*B2</f>
        <v>910000</v>
      </c>
      <c r="E2" s="5"/>
    </row>
    <row r="3" spans="1:5" x14ac:dyDescent="0.35">
      <c r="A3" s="3" t="s">
        <v>7</v>
      </c>
      <c r="B3" s="4">
        <v>2000</v>
      </c>
      <c r="C3" s="4">
        <v>455</v>
      </c>
      <c r="D3" s="4">
        <f>C3*B3</f>
        <v>910000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2.35</v>
      </c>
      <c r="C7" s="6"/>
      <c r="D7" s="7"/>
      <c r="E7" s="5"/>
    </row>
    <row r="8" spans="1:5" x14ac:dyDescent="0.35">
      <c r="A8" s="3" t="s">
        <v>91</v>
      </c>
      <c r="B8" s="6">
        <v>4950</v>
      </c>
      <c r="C8" s="6">
        <v>69.05</v>
      </c>
      <c r="D8" s="7"/>
      <c r="E8" s="9">
        <f>C8*B8</f>
        <v>341797.5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92</v>
      </c>
      <c r="B10" s="6">
        <v>2000</v>
      </c>
      <c r="C10" s="10">
        <v>11</v>
      </c>
      <c r="D10" s="7"/>
      <c r="E10" s="9">
        <f>C10*B10</f>
        <v>22000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363797.5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86</v>
      </c>
      <c r="B16" s="7">
        <v>2000</v>
      </c>
      <c r="C16" s="6">
        <v>58.08</v>
      </c>
      <c r="D16" s="7"/>
      <c r="E16" s="11">
        <f>C16*B16</f>
        <v>116160</v>
      </c>
    </row>
    <row r="17" spans="1:5" x14ac:dyDescent="0.35">
      <c r="A17" s="8" t="s">
        <v>88</v>
      </c>
      <c r="B17" s="7">
        <v>2000</v>
      </c>
      <c r="C17" s="12">
        <v>54.51</v>
      </c>
      <c r="D17" s="7"/>
      <c r="E17" s="11">
        <f>C17*B17</f>
        <v>109020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4030</v>
      </c>
      <c r="C19" s="13">
        <v>0.67</v>
      </c>
      <c r="D19" s="7"/>
      <c r="E19" s="9">
        <f t="shared" ref="E19:E34" si="0">C19*B19</f>
        <v>2700.1000000000004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4020</v>
      </c>
      <c r="C21" s="13">
        <v>0.39</v>
      </c>
      <c r="D21" s="7"/>
      <c r="E21" s="9">
        <f t="shared" si="0"/>
        <v>1567.8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2000</v>
      </c>
      <c r="C24" s="13">
        <v>0.75</v>
      </c>
      <c r="D24" s="7"/>
      <c r="E24" s="9">
        <f t="shared" si="0"/>
        <v>1500</v>
      </c>
    </row>
    <row r="25" spans="1:5" ht="15.5" x14ac:dyDescent="0.35">
      <c r="A25" s="3" t="s">
        <v>26</v>
      </c>
      <c r="B25" s="7">
        <v>2020</v>
      </c>
      <c r="C25" s="13">
        <v>3.1</v>
      </c>
      <c r="D25" s="7"/>
      <c r="E25" s="9">
        <f t="shared" si="0"/>
        <v>6262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2000</v>
      </c>
      <c r="C28" s="13">
        <v>1.95</v>
      </c>
      <c r="D28" s="7"/>
      <c r="E28" s="9">
        <f t="shared" si="0"/>
        <v>3900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67</v>
      </c>
      <c r="D30" s="7"/>
      <c r="E30" s="9">
        <f t="shared" si="0"/>
        <v>3015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18944.900000000001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SUM(E35,E14,E16,E17,E36)-D4</f>
        <v>607922.4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303.96120000000002</v>
      </c>
    </row>
    <row r="39" spans="1:5" x14ac:dyDescent="0.35">
      <c r="A39" s="14" t="s">
        <v>40</v>
      </c>
      <c r="B39" s="15"/>
      <c r="C39" s="16"/>
      <c r="D39" s="17"/>
      <c r="E39" s="45">
        <f>D3-E37</f>
        <v>302077.59999999998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33.195340659340651</v>
      </c>
      <c r="E41" s="28">
        <f>C3-E38</f>
        <v>151.03879999999998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28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116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7DFA-3B5A-4F2D-863B-512D3EAE9D6C}">
  <dimension ref="A1:E54"/>
  <sheetViews>
    <sheetView topLeftCell="A17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226.6</v>
      </c>
      <c r="D2" s="4">
        <f>C2*B2</f>
        <v>453200</v>
      </c>
      <c r="E2" s="5"/>
    </row>
    <row r="3" spans="1:5" x14ac:dyDescent="0.35">
      <c r="A3" s="3" t="s">
        <v>7</v>
      </c>
      <c r="B3" s="4">
        <v>1940</v>
      </c>
      <c r="C3" s="4">
        <v>226.6</v>
      </c>
      <c r="D3" s="4">
        <f>C3*B3</f>
        <v>439604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94</v>
      </c>
      <c r="B8" s="6">
        <v>3622</v>
      </c>
      <c r="C8" s="6">
        <v>68.05</v>
      </c>
      <c r="D8" s="7"/>
      <c r="E8" s="9">
        <f>C8*B8</f>
        <v>246477.09999999998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246477.09999999998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1940</v>
      </c>
      <c r="C16" s="6">
        <v>58.07</v>
      </c>
      <c r="D16" s="7"/>
      <c r="E16" s="11">
        <f>C16*B16</f>
        <v>112655.8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2014</v>
      </c>
      <c r="C19" s="13">
        <v>0.67</v>
      </c>
      <c r="D19" s="7"/>
      <c r="E19" s="9">
        <f t="shared" ref="E19:E34" si="0">C19*B19</f>
        <v>1349.38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2020</v>
      </c>
      <c r="C21" s="13">
        <v>0.39</v>
      </c>
      <c r="D21" s="7"/>
      <c r="E21" s="9">
        <f t="shared" si="0"/>
        <v>787.80000000000007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56</v>
      </c>
      <c r="C23" s="13">
        <v>74</v>
      </c>
      <c r="D23" s="7"/>
      <c r="E23" s="9">
        <f t="shared" si="0"/>
        <v>4144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2020</v>
      </c>
      <c r="C25" s="13">
        <v>3.1</v>
      </c>
      <c r="D25" s="7"/>
      <c r="E25" s="9">
        <f t="shared" si="0"/>
        <v>6262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1994</v>
      </c>
      <c r="C28" s="13">
        <v>1.95</v>
      </c>
      <c r="D28" s="7"/>
      <c r="E28" s="9">
        <f t="shared" si="0"/>
        <v>3888.2999999999997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40</v>
      </c>
      <c r="C30" s="6">
        <v>67</v>
      </c>
      <c r="D30" s="7"/>
      <c r="E30" s="9">
        <f t="shared" si="0"/>
        <v>2680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19111.48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378244.37999999995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194.97132989690718</v>
      </c>
    </row>
    <row r="39" spans="1:5" x14ac:dyDescent="0.35">
      <c r="A39" s="14" t="s">
        <v>40</v>
      </c>
      <c r="B39" s="15"/>
      <c r="C39" s="16"/>
      <c r="D39" s="17"/>
      <c r="E39" s="18">
        <f>D3-E37</f>
        <v>61359.620000000054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E41*100/C2+D50</f>
        <v>20.037333270181627</v>
      </c>
      <c r="E41" s="28">
        <f>C3-E38</f>
        <v>31.628670103092816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657</v>
      </c>
      <c r="C44" s="35">
        <v>35</v>
      </c>
      <c r="D44" s="36"/>
      <c r="E44" s="9">
        <f>B44*C44</f>
        <v>22995</v>
      </c>
    </row>
    <row r="45" spans="1:5" x14ac:dyDescent="0.35">
      <c r="A45" s="3" t="s">
        <v>45</v>
      </c>
      <c r="B45" s="37">
        <v>16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41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22995</v>
      </c>
    </row>
    <row r="50" spans="1:5" ht="15" thickBot="1" x14ac:dyDescent="0.4">
      <c r="A50" s="39" t="s">
        <v>49</v>
      </c>
      <c r="B50" s="40"/>
      <c r="C50" s="40"/>
      <c r="D50" s="41">
        <f>E49/E37%</f>
        <v>6.0794029510762337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3FDA-5062-4BCE-9E3B-9AA056D35A2E}">
  <dimension ref="A1:E54"/>
  <sheetViews>
    <sheetView workbookViewId="0">
      <selection activeCell="C10" sqref="C10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1799</v>
      </c>
      <c r="C2" s="4">
        <v>340.77</v>
      </c>
      <c r="D2" s="4">
        <f>C2*B2</f>
        <v>613045.23</v>
      </c>
      <c r="E2" s="5"/>
    </row>
    <row r="3" spans="1:5" x14ac:dyDescent="0.35">
      <c r="A3" s="3" t="s">
        <v>7</v>
      </c>
      <c r="B3" s="4">
        <v>1760</v>
      </c>
      <c r="C3" s="4">
        <v>340.77</v>
      </c>
      <c r="D3" s="4">
        <f>C3*B3</f>
        <v>599755.19999999995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95</v>
      </c>
      <c r="B8" s="6">
        <v>3245</v>
      </c>
      <c r="C8" s="6">
        <v>92.27</v>
      </c>
      <c r="D8" s="7"/>
      <c r="E8" s="9">
        <f>C8*B8</f>
        <v>299416.14999999997</v>
      </c>
    </row>
    <row r="9" spans="1:5" x14ac:dyDescent="0.35">
      <c r="A9" s="3" t="s">
        <v>97</v>
      </c>
      <c r="B9" s="6">
        <v>1800</v>
      </c>
      <c r="C9" s="6">
        <v>35</v>
      </c>
      <c r="D9" s="7"/>
      <c r="E9" s="9">
        <f>C9*B9</f>
        <v>63000</v>
      </c>
    </row>
    <row r="10" spans="1:5" x14ac:dyDescent="0.35">
      <c r="A10" s="3" t="s">
        <v>96</v>
      </c>
      <c r="B10" s="6">
        <v>1800</v>
      </c>
      <c r="C10" s="10">
        <v>8</v>
      </c>
      <c r="D10" s="7"/>
      <c r="E10" s="9">
        <f>C10*B10</f>
        <v>14400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376816.14999999997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1760</v>
      </c>
      <c r="C16" s="6">
        <v>59.02</v>
      </c>
      <c r="D16" s="7"/>
      <c r="E16" s="11">
        <f>C16*B16</f>
        <v>103875.20000000001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1782</v>
      </c>
      <c r="C19" s="13">
        <v>0.67</v>
      </c>
      <c r="D19" s="7"/>
      <c r="E19" s="9">
        <f t="shared" ref="E19:E34" si="0">C19*B19</f>
        <v>1193.94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1820</v>
      </c>
      <c r="C21" s="13">
        <v>0.39</v>
      </c>
      <c r="D21" s="7"/>
      <c r="E21" s="9">
        <f t="shared" si="0"/>
        <v>709.80000000000007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1820</v>
      </c>
      <c r="C25" s="13">
        <v>3.1</v>
      </c>
      <c r="D25" s="7"/>
      <c r="E25" s="9">
        <f t="shared" si="0"/>
        <v>5642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1760</v>
      </c>
      <c r="C28" s="13">
        <v>1.95</v>
      </c>
      <c r="D28" s="7"/>
      <c r="E28" s="9">
        <f t="shared" si="0"/>
        <v>3432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35</v>
      </c>
      <c r="C30" s="6">
        <v>67</v>
      </c>
      <c r="D30" s="7"/>
      <c r="E30" s="9">
        <f t="shared" si="0"/>
        <v>2345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13322.74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494014.08999999997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280.68982386363632</v>
      </c>
    </row>
    <row r="39" spans="1:5" x14ac:dyDescent="0.35">
      <c r="A39" s="14" t="s">
        <v>40</v>
      </c>
      <c r="B39" s="15"/>
      <c r="C39" s="16"/>
      <c r="D39" s="17"/>
      <c r="E39" s="18">
        <f>D3-E37</f>
        <v>105741.10999999999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E41*100/C2+D50</f>
        <v>17.630711663692129</v>
      </c>
      <c r="E41" s="28">
        <f>C3-E38</f>
        <v>60.080176136363661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0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0E6C-5391-47B2-BDE1-01733117FCC7}">
  <dimension ref="A1:E54"/>
  <sheetViews>
    <sheetView workbookViewId="0">
      <selection sqref="A1:XFD1048576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2199</v>
      </c>
      <c r="C2" s="4">
        <v>226.42</v>
      </c>
      <c r="D2" s="4">
        <f>C2*B2</f>
        <v>497897.57999999996</v>
      </c>
      <c r="E2" s="5"/>
    </row>
    <row r="3" spans="1:5" x14ac:dyDescent="0.35">
      <c r="A3" s="3" t="s">
        <v>7</v>
      </c>
      <c r="B3" s="4">
        <v>2199</v>
      </c>
      <c r="C3" s="4">
        <v>226.42</v>
      </c>
      <c r="D3" s="4">
        <f>C3*B3</f>
        <v>497897.57999999996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3480</v>
      </c>
      <c r="C8" s="6">
        <v>66.599999999999994</v>
      </c>
      <c r="D8" s="7"/>
      <c r="E8" s="9">
        <f>C8*B8</f>
        <v>231767.99999999997</v>
      </c>
    </row>
    <row r="9" spans="1:5" x14ac:dyDescent="0.35">
      <c r="A9" s="3" t="s">
        <v>97</v>
      </c>
      <c r="B9" s="6">
        <v>2224</v>
      </c>
      <c r="C9" s="6">
        <v>8</v>
      </c>
      <c r="D9" s="7"/>
      <c r="E9" s="9">
        <f>C9*B9</f>
        <v>17792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249559.99999999997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2199</v>
      </c>
      <c r="C16" s="6">
        <v>52.85</v>
      </c>
      <c r="D16" s="7"/>
      <c r="E16" s="11">
        <f>C16*B16</f>
        <v>116217.15000000001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2224</v>
      </c>
      <c r="C19" s="13">
        <v>0.67</v>
      </c>
      <c r="D19" s="7"/>
      <c r="E19" s="9">
        <f t="shared" ref="E19:E34" si="0">C19*B19</f>
        <v>1490.0800000000002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2220</v>
      </c>
      <c r="C21" s="13">
        <v>0.39</v>
      </c>
      <c r="D21" s="7"/>
      <c r="E21" s="9">
        <f t="shared" si="0"/>
        <v>865.80000000000007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2220</v>
      </c>
      <c r="C25" s="13">
        <v>3.1</v>
      </c>
      <c r="D25" s="7"/>
      <c r="E25" s="9">
        <f t="shared" si="0"/>
        <v>6882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2199</v>
      </c>
      <c r="C28" s="13">
        <v>1.95</v>
      </c>
      <c r="D28" s="7"/>
      <c r="E28" s="9">
        <f t="shared" si="0"/>
        <v>4288.05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48</v>
      </c>
      <c r="C30" s="6">
        <v>67</v>
      </c>
      <c r="D30" s="7"/>
      <c r="E30" s="9">
        <f t="shared" si="0"/>
        <v>3216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16741.93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382519.08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173.95137789904504</v>
      </c>
    </row>
    <row r="39" spans="1:5" x14ac:dyDescent="0.35">
      <c r="A39" s="14" t="s">
        <v>40</v>
      </c>
      <c r="B39" s="15"/>
      <c r="C39" s="16"/>
      <c r="D39" s="17"/>
      <c r="E39" s="18">
        <f>D3-E37</f>
        <v>115378.49999999994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23.173139343235999</v>
      </c>
      <c r="E41" s="28">
        <f>C3-E38</f>
        <v>52.468622100954946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390</v>
      </c>
      <c r="C44" s="35">
        <v>40</v>
      </c>
      <c r="D44" s="36"/>
      <c r="E44" s="9">
        <f>B44*C44</f>
        <v>15600</v>
      </c>
    </row>
    <row r="45" spans="1:5" x14ac:dyDescent="0.35">
      <c r="A45" s="3" t="s">
        <v>45</v>
      </c>
      <c r="B45" s="37">
        <v>0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15600</v>
      </c>
    </row>
    <row r="50" spans="1:5" ht="15" thickBot="1" x14ac:dyDescent="0.4">
      <c r="A50" s="39" t="s">
        <v>49</v>
      </c>
      <c r="B50" s="40"/>
      <c r="C50" s="40"/>
      <c r="D50" s="41">
        <f>E49/E37%</f>
        <v>4.0782279409434947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0A1D-BF4E-488F-9D7B-C04925619FE7}">
  <dimension ref="A1:E54"/>
  <sheetViews>
    <sheetView workbookViewId="0">
      <selection sqref="A1:XFD1048576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263.8</v>
      </c>
      <c r="D2" s="4">
        <f>C2*B2</f>
        <v>527600</v>
      </c>
      <c r="E2" s="5"/>
    </row>
    <row r="3" spans="1:5" x14ac:dyDescent="0.35">
      <c r="A3" s="3" t="s">
        <v>7</v>
      </c>
      <c r="B3" s="4">
        <v>2023</v>
      </c>
      <c r="C3" s="4">
        <v>263.8</v>
      </c>
      <c r="D3" s="4">
        <f>C3*B3</f>
        <v>533667.4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3049</v>
      </c>
      <c r="C8" s="6">
        <v>79.66</v>
      </c>
      <c r="D8" s="7"/>
      <c r="E8" s="9">
        <f>C8*B8</f>
        <v>242883.34</v>
      </c>
    </row>
    <row r="9" spans="1:5" x14ac:dyDescent="0.35">
      <c r="A9" s="3" t="s">
        <v>97</v>
      </c>
      <c r="B9" s="6">
        <v>2100</v>
      </c>
      <c r="C9" s="6">
        <v>5.5</v>
      </c>
      <c r="D9" s="7"/>
      <c r="E9" s="9">
        <f>C9*B9</f>
        <v>11550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254433.34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2023</v>
      </c>
      <c r="C16" s="6">
        <v>60.73</v>
      </c>
      <c r="D16" s="7"/>
      <c r="E16" s="11">
        <f>C16*B16</f>
        <v>122856.79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2091</v>
      </c>
      <c r="C19" s="13">
        <v>0.67</v>
      </c>
      <c r="D19" s="7"/>
      <c r="E19" s="9">
        <f t="shared" ref="E19:E34" si="0">C19*B19</f>
        <v>1400.97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2100</v>
      </c>
      <c r="C21" s="13">
        <v>0.39</v>
      </c>
      <c r="D21" s="7"/>
      <c r="E21" s="9">
        <f t="shared" si="0"/>
        <v>819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2100</v>
      </c>
      <c r="C25" s="13">
        <v>3.1</v>
      </c>
      <c r="D25" s="7"/>
      <c r="E25" s="9">
        <f t="shared" si="0"/>
        <v>6510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2023</v>
      </c>
      <c r="C28" s="13">
        <v>1.95</v>
      </c>
      <c r="D28" s="7"/>
      <c r="E28" s="9">
        <f t="shared" si="0"/>
        <v>3944.85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48</v>
      </c>
      <c r="C30" s="6">
        <v>67</v>
      </c>
      <c r="D30" s="7"/>
      <c r="E30" s="9">
        <f t="shared" si="0"/>
        <v>3216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15890.820000000002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393180.94999999995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194.35538803756793</v>
      </c>
    </row>
    <row r="39" spans="1:5" x14ac:dyDescent="0.35">
      <c r="A39" s="14" t="s">
        <v>40</v>
      </c>
      <c r="B39" s="15"/>
      <c r="C39" s="16"/>
      <c r="D39" s="17"/>
      <c r="E39" s="18">
        <f>D3-E37</f>
        <v>140486.45000000007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26.324720228366974</v>
      </c>
      <c r="E41" s="28">
        <f>C3-E38</f>
        <v>69.444611962432077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48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11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51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B8A7-80B7-4709-AE50-A5A4CA4811F6}">
  <dimension ref="A1:E54"/>
  <sheetViews>
    <sheetView workbookViewId="0">
      <selection sqref="A1:XFD1048576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102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263.8</v>
      </c>
      <c r="D2" s="4">
        <f>C2*B2</f>
        <v>527600</v>
      </c>
      <c r="E2" s="5"/>
    </row>
    <row r="3" spans="1:5" x14ac:dyDescent="0.35">
      <c r="A3" s="3" t="s">
        <v>7</v>
      </c>
      <c r="B3" s="4">
        <v>1957</v>
      </c>
      <c r="C3" s="4">
        <v>263.8</v>
      </c>
      <c r="D3" s="4">
        <f>C3*B3</f>
        <v>516256.60000000003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1.37</v>
      </c>
      <c r="C7" s="6"/>
      <c r="D7" s="7"/>
      <c r="E7" s="5"/>
    </row>
    <row r="8" spans="1:5" x14ac:dyDescent="0.35">
      <c r="A8" s="3" t="s">
        <v>99</v>
      </c>
      <c r="B8" s="6">
        <v>2866</v>
      </c>
      <c r="C8" s="6">
        <v>78.650000000000006</v>
      </c>
      <c r="D8" s="7"/>
      <c r="E8" s="9">
        <f>C8*B8</f>
        <v>225410.90000000002</v>
      </c>
    </row>
    <row r="9" spans="1:5" x14ac:dyDescent="0.35">
      <c r="A9" s="3" t="s">
        <v>97</v>
      </c>
      <c r="B9" s="6">
        <v>2000</v>
      </c>
      <c r="C9" s="6">
        <v>5.5</v>
      </c>
      <c r="D9" s="7"/>
      <c r="E9" s="9">
        <f>C9*B9</f>
        <v>11000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236410.90000000002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1957</v>
      </c>
      <c r="C16" s="6">
        <v>62.44</v>
      </c>
      <c r="D16" s="7"/>
      <c r="E16" s="11">
        <f>C16*B16</f>
        <v>122195.08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2010</v>
      </c>
      <c r="C19" s="13">
        <v>0.67</v>
      </c>
      <c r="D19" s="7"/>
      <c r="E19" s="9">
        <f t="shared" ref="E19:E34" si="0">C19*B19</f>
        <v>1346.7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2010</v>
      </c>
      <c r="C21" s="13">
        <v>0.39</v>
      </c>
      <c r="D21" s="7"/>
      <c r="E21" s="9">
        <f t="shared" si="0"/>
        <v>783.9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2010</v>
      </c>
      <c r="C25" s="13">
        <v>3.1</v>
      </c>
      <c r="D25" s="7"/>
      <c r="E25" s="9">
        <f t="shared" si="0"/>
        <v>6231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1957</v>
      </c>
      <c r="C28" s="13">
        <v>1.95</v>
      </c>
      <c r="D28" s="7"/>
      <c r="E28" s="9">
        <f t="shared" si="0"/>
        <v>3816.15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40</v>
      </c>
      <c r="C30" s="6">
        <v>62</v>
      </c>
      <c r="D30" s="7"/>
      <c r="E30" s="9">
        <f t="shared" si="0"/>
        <v>2480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14657.75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373263.73000000004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190.73261624936129</v>
      </c>
    </row>
    <row r="39" spans="1:5" x14ac:dyDescent="0.35">
      <c r="A39" s="14" t="s">
        <v>40</v>
      </c>
      <c r="B39" s="15"/>
      <c r="C39" s="16"/>
      <c r="D39" s="17"/>
      <c r="E39" s="18">
        <f>D3-E37</f>
        <v>142992.87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27.698022649976771</v>
      </c>
      <c r="E41" s="28">
        <f>C3-E38</f>
        <v>73.067383750638726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5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5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0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ADE8-1083-4FC2-A29B-8EE70277793B}">
  <dimension ref="A1:E54"/>
  <sheetViews>
    <sheetView workbookViewId="0">
      <selection activeCell="E15" sqref="E15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272.11</v>
      </c>
      <c r="D2" s="4">
        <f>C2*B2</f>
        <v>544220</v>
      </c>
      <c r="E2" s="5"/>
    </row>
    <row r="3" spans="1:5" x14ac:dyDescent="0.35">
      <c r="A3" s="3" t="s">
        <v>7</v>
      </c>
      <c r="B3" s="4">
        <v>2050</v>
      </c>
      <c r="C3" s="4">
        <v>272.11</v>
      </c>
      <c r="D3" s="4">
        <f>C3*B3</f>
        <v>557825.5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2930</v>
      </c>
      <c r="C8" s="6">
        <v>76.05</v>
      </c>
      <c r="D8" s="7"/>
      <c r="E8" s="9">
        <f>C8*B8</f>
        <v>222826.5</v>
      </c>
    </row>
    <row r="9" spans="1:5" x14ac:dyDescent="0.35">
      <c r="A9" s="3" t="s">
        <v>97</v>
      </c>
      <c r="B9" s="6">
        <v>2100</v>
      </c>
      <c r="C9" s="6">
        <v>4.4000000000000004</v>
      </c>
      <c r="D9" s="7"/>
      <c r="E9" s="9">
        <f>C9*B9</f>
        <v>9240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232066.5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2050</v>
      </c>
      <c r="C16" s="6">
        <v>58.96</v>
      </c>
      <c r="D16" s="7"/>
      <c r="E16" s="11">
        <f>C16*B16</f>
        <v>120868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2100</v>
      </c>
      <c r="C19" s="13">
        <v>0.67</v>
      </c>
      <c r="D19" s="7"/>
      <c r="E19" s="9">
        <f t="shared" ref="E19:E34" si="0">C19*B19</f>
        <v>1407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2100</v>
      </c>
      <c r="C21" s="13">
        <v>0.39</v>
      </c>
      <c r="D21" s="7"/>
      <c r="E21" s="9">
        <f t="shared" si="0"/>
        <v>819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2100</v>
      </c>
      <c r="C25" s="13">
        <v>3.1</v>
      </c>
      <c r="D25" s="7"/>
      <c r="E25" s="9">
        <f t="shared" si="0"/>
        <v>6510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2050</v>
      </c>
      <c r="C28" s="13">
        <v>1.95</v>
      </c>
      <c r="D28" s="7"/>
      <c r="E28" s="9">
        <f t="shared" si="0"/>
        <v>3997.5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50</v>
      </c>
      <c r="C30" s="6">
        <v>62</v>
      </c>
      <c r="D30" s="7"/>
      <c r="E30" s="9">
        <f t="shared" si="0"/>
        <v>3100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15833.5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368768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179.88682926829267</v>
      </c>
    </row>
    <row r="39" spans="1:5" x14ac:dyDescent="0.35">
      <c r="A39" s="14" t="s">
        <v>40</v>
      </c>
      <c r="B39" s="15"/>
      <c r="C39" s="16"/>
      <c r="D39" s="17"/>
      <c r="E39" s="18">
        <f>D3-E37</f>
        <v>189057.5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33.891871203449831</v>
      </c>
      <c r="E41" s="28">
        <f>C3-E38</f>
        <v>92.223170731707341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10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32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8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0E2B-48CC-4380-9AC2-37244D5ACC22}">
  <dimension ref="A1:E54"/>
  <sheetViews>
    <sheetView workbookViewId="0">
      <selection activeCell="C10" sqref="C10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106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1599</v>
      </c>
      <c r="C2" s="4">
        <v>300.26</v>
      </c>
      <c r="D2" s="4">
        <f>C2*B2</f>
        <v>480115.74</v>
      </c>
      <c r="E2" s="5"/>
    </row>
    <row r="3" spans="1:5" x14ac:dyDescent="0.35">
      <c r="A3" s="3" t="s">
        <v>7</v>
      </c>
      <c r="B3" s="4">
        <v>1517</v>
      </c>
      <c r="C3" s="4">
        <v>300.26</v>
      </c>
      <c r="D3" s="4">
        <f>C3*B3</f>
        <v>455494.42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1.51</v>
      </c>
      <c r="C7" s="6"/>
      <c r="D7" s="7"/>
      <c r="E7" s="5"/>
    </row>
    <row r="8" spans="1:5" x14ac:dyDescent="0.35">
      <c r="A8" s="3" t="s">
        <v>104</v>
      </c>
      <c r="B8" s="6">
        <v>2388</v>
      </c>
      <c r="C8" s="6">
        <v>88</v>
      </c>
      <c r="D8" s="7"/>
      <c r="E8" s="9">
        <f>C8*B8</f>
        <v>210144</v>
      </c>
    </row>
    <row r="9" spans="1:5" x14ac:dyDescent="0.35">
      <c r="A9" s="3" t="s">
        <v>105</v>
      </c>
      <c r="B9" s="6">
        <v>1800</v>
      </c>
      <c r="C9" s="6">
        <v>2.5</v>
      </c>
      <c r="D9" s="7"/>
      <c r="E9" s="9">
        <f>C9*B9</f>
        <v>4500</v>
      </c>
    </row>
    <row r="10" spans="1:5" x14ac:dyDescent="0.35">
      <c r="A10" s="3" t="s">
        <v>96</v>
      </c>
      <c r="B10" s="6">
        <v>1650</v>
      </c>
      <c r="C10" s="10">
        <v>6</v>
      </c>
      <c r="D10" s="7"/>
      <c r="E10" s="9">
        <f>C10*B10</f>
        <v>9900</v>
      </c>
    </row>
    <row r="11" spans="1:5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224544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1517</v>
      </c>
      <c r="C16" s="6">
        <v>59.73</v>
      </c>
      <c r="D16" s="7"/>
      <c r="E16" s="11">
        <f>C16*B16</f>
        <v>90610.409999999989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1533</v>
      </c>
      <c r="C19" s="13">
        <v>0.67</v>
      </c>
      <c r="D19" s="7"/>
      <c r="E19" s="9">
        <f t="shared" ref="E19:E34" si="0">C19*B19</f>
        <v>1027.1100000000001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1610</v>
      </c>
      <c r="C21" s="13">
        <v>0.39</v>
      </c>
      <c r="D21" s="7"/>
      <c r="E21" s="9">
        <f t="shared" si="0"/>
        <v>627.9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1610</v>
      </c>
      <c r="C25" s="13">
        <v>3.1</v>
      </c>
      <c r="D25" s="7"/>
      <c r="E25" s="9">
        <f t="shared" si="0"/>
        <v>4991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1517</v>
      </c>
      <c r="C28" s="13">
        <v>1.95</v>
      </c>
      <c r="D28" s="7"/>
      <c r="E28" s="9">
        <f t="shared" si="0"/>
        <v>2958.15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50</v>
      </c>
      <c r="C30" s="6">
        <v>62</v>
      </c>
      <c r="D30" s="7"/>
      <c r="E30" s="9">
        <f t="shared" si="0"/>
        <v>3100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12704.16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327858.57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216.1229861568886</v>
      </c>
    </row>
    <row r="39" spans="1:5" x14ac:dyDescent="0.35">
      <c r="A39" s="14" t="s">
        <v>40</v>
      </c>
      <c r="B39" s="15"/>
      <c r="C39" s="16"/>
      <c r="D39" s="17"/>
      <c r="E39" s="18">
        <f>D3-E37</f>
        <v>127635.84999999998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28.021386079767996</v>
      </c>
      <c r="E41" s="28">
        <f>C3-E38</f>
        <v>84.13701384311139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11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8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2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663B-457E-476E-9064-E2268AE455AE}">
  <dimension ref="A1:E54"/>
  <sheetViews>
    <sheetView workbookViewId="0">
      <selection activeCell="A12" sqref="A12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107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1599</v>
      </c>
      <c r="C2" s="4">
        <v>277.42</v>
      </c>
      <c r="D2" s="4">
        <f>C2*B2</f>
        <v>443594.58</v>
      </c>
      <c r="E2" s="5"/>
    </row>
    <row r="3" spans="1:5" x14ac:dyDescent="0.35">
      <c r="A3" s="3" t="s">
        <v>7</v>
      </c>
      <c r="B3" s="4">
        <v>1433</v>
      </c>
      <c r="C3" s="4">
        <v>277.42</v>
      </c>
      <c r="D3" s="4">
        <f>C3*B3</f>
        <v>397542.86000000004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1.49</v>
      </c>
      <c r="C7" s="6"/>
      <c r="D7" s="7"/>
      <c r="E7" s="5"/>
    </row>
    <row r="8" spans="1:5" x14ac:dyDescent="0.35">
      <c r="A8" s="3" t="s">
        <v>109</v>
      </c>
      <c r="B8" s="6">
        <v>2101</v>
      </c>
      <c r="C8" s="6">
        <v>95.2</v>
      </c>
      <c r="D8" s="7"/>
      <c r="E8" s="9">
        <f>C8*B8</f>
        <v>200015.2</v>
      </c>
    </row>
    <row r="9" spans="1:5" x14ac:dyDescent="0.35">
      <c r="A9" s="3" t="s">
        <v>105</v>
      </c>
      <c r="B9" s="6">
        <v>1800</v>
      </c>
      <c r="C9" s="6">
        <v>2.5</v>
      </c>
      <c r="D9" s="7"/>
      <c r="E9" s="9">
        <f>C9*B9</f>
        <v>4500</v>
      </c>
    </row>
    <row r="10" spans="1:5" x14ac:dyDescent="0.35">
      <c r="A10" s="3" t="s">
        <v>96</v>
      </c>
      <c r="B10" s="6">
        <v>1650</v>
      </c>
      <c r="C10" s="10">
        <v>6</v>
      </c>
      <c r="D10" s="7"/>
      <c r="E10" s="9">
        <f>C10*B10</f>
        <v>9900</v>
      </c>
    </row>
    <row r="11" spans="1:5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214415.2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1433</v>
      </c>
      <c r="C16" s="6">
        <v>62.33</v>
      </c>
      <c r="D16" s="7"/>
      <c r="E16" s="11">
        <f>C16*B16</f>
        <v>89318.89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1456</v>
      </c>
      <c r="C19" s="13">
        <v>0.67</v>
      </c>
      <c r="D19" s="7"/>
      <c r="E19" s="9">
        <f t="shared" ref="E19:E34" si="0">C19*B19</f>
        <v>975.5200000000001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1610</v>
      </c>
      <c r="C21" s="13">
        <v>0.39</v>
      </c>
      <c r="D21" s="7"/>
      <c r="E21" s="9">
        <f t="shared" si="0"/>
        <v>627.9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1610</v>
      </c>
      <c r="C25" s="13">
        <v>3.1</v>
      </c>
      <c r="D25" s="7"/>
      <c r="E25" s="9">
        <f t="shared" si="0"/>
        <v>4991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1433</v>
      </c>
      <c r="C28" s="13">
        <v>1.95</v>
      </c>
      <c r="D28" s="7"/>
      <c r="E28" s="9">
        <f t="shared" si="0"/>
        <v>2794.35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62</v>
      </c>
      <c r="D30" s="7"/>
      <c r="E30" s="9">
        <f t="shared" si="0"/>
        <v>2790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12178.77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315912.86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220.45558967201674</v>
      </c>
    </row>
    <row r="39" spans="1:5" x14ac:dyDescent="0.35">
      <c r="A39" s="14" t="s">
        <v>40</v>
      </c>
      <c r="B39" s="15"/>
      <c r="C39" s="16"/>
      <c r="D39" s="17"/>
      <c r="E39" s="18">
        <f>D3-E37</f>
        <v>81630.000000000058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20.533635040005507</v>
      </c>
      <c r="E41" s="28">
        <f>C3-E38</f>
        <v>56.964410327983273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9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16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7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D54A-9230-4084-8DEA-621DD344C2CA}">
  <dimension ref="A1:G54"/>
  <sheetViews>
    <sheetView workbookViewId="0">
      <selection activeCell="A12" sqref="A12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108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1599</v>
      </c>
      <c r="C2" s="4">
        <v>277.64999999999998</v>
      </c>
      <c r="D2" s="4">
        <f>C2*B2</f>
        <v>443962.35</v>
      </c>
      <c r="E2" s="5"/>
    </row>
    <row r="3" spans="1:7" x14ac:dyDescent="0.35">
      <c r="A3" s="3" t="s">
        <v>7</v>
      </c>
      <c r="B3" s="4">
        <v>1352</v>
      </c>
      <c r="C3" s="4">
        <v>277.64999999999998</v>
      </c>
      <c r="D3" s="4">
        <f>C3*B3</f>
        <v>375382.8</v>
      </c>
      <c r="E3" s="5"/>
      <c r="G3" t="s">
        <v>110</v>
      </c>
    </row>
    <row r="4" spans="1:7" x14ac:dyDescent="0.35">
      <c r="A4" s="3"/>
      <c r="B4" s="6"/>
      <c r="C4" s="6"/>
      <c r="D4" s="6"/>
      <c r="E4" s="5"/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1.49</v>
      </c>
      <c r="C7" s="6"/>
      <c r="D7" s="7"/>
      <c r="E7" s="5"/>
    </row>
    <row r="8" spans="1:7" x14ac:dyDescent="0.35">
      <c r="A8" s="3" t="s">
        <v>109</v>
      </c>
      <c r="B8" s="6">
        <v>1996.2</v>
      </c>
      <c r="C8" s="6">
        <v>97.56</v>
      </c>
      <c r="D8" s="7"/>
      <c r="E8" s="9">
        <f>C8*B8</f>
        <v>194749.272</v>
      </c>
    </row>
    <row r="9" spans="1:7" x14ac:dyDescent="0.35">
      <c r="A9" s="3" t="s">
        <v>105</v>
      </c>
      <c r="B9" s="6">
        <v>1800</v>
      </c>
      <c r="C9" s="6">
        <v>2.5</v>
      </c>
      <c r="D9" s="7"/>
      <c r="E9" s="9">
        <f>C9*B9</f>
        <v>4500</v>
      </c>
    </row>
    <row r="10" spans="1:7" x14ac:dyDescent="0.35">
      <c r="A10" s="3" t="s">
        <v>96</v>
      </c>
      <c r="B10" s="6">
        <v>1650</v>
      </c>
      <c r="C10" s="10">
        <v>6</v>
      </c>
      <c r="D10" s="7"/>
      <c r="E10" s="9">
        <f>C10*B10</f>
        <v>9900</v>
      </c>
    </row>
    <row r="11" spans="1:7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209149.272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1352</v>
      </c>
      <c r="C16" s="6">
        <v>62.33</v>
      </c>
      <c r="D16" s="7"/>
      <c r="E16" s="11">
        <f>C16*B16</f>
        <v>84270.16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1375</v>
      </c>
      <c r="C19" s="13">
        <v>0.67</v>
      </c>
      <c r="D19" s="7"/>
      <c r="E19" s="9">
        <f t="shared" ref="E19:E34" si="0">C19*B19</f>
        <v>921.25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1610</v>
      </c>
      <c r="C21" s="13">
        <v>0.39</v>
      </c>
      <c r="D21" s="7"/>
      <c r="E21" s="9">
        <f t="shared" si="0"/>
        <v>627.9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1610</v>
      </c>
      <c r="C25" s="13">
        <v>3.1</v>
      </c>
      <c r="D25" s="7"/>
      <c r="E25" s="9">
        <f t="shared" si="0"/>
        <v>4991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1352</v>
      </c>
      <c r="C28" s="13">
        <v>1.95</v>
      </c>
      <c r="D28" s="7"/>
      <c r="E28" s="9">
        <f t="shared" si="0"/>
        <v>2636.4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62</v>
      </c>
      <c r="D30" s="7"/>
      <c r="E30" s="9">
        <f t="shared" si="0"/>
        <v>2790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11966.55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305385.98199999996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225.87720562130175</v>
      </c>
    </row>
    <row r="39" spans="1:5" x14ac:dyDescent="0.35">
      <c r="A39" s="14" t="s">
        <v>40</v>
      </c>
      <c r="B39" s="15"/>
      <c r="C39" s="16"/>
      <c r="D39" s="17"/>
      <c r="E39" s="18">
        <f>D3-E37</f>
        <v>69996.818000000028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18.646783496739861</v>
      </c>
      <c r="E41" s="28">
        <f>C3-E38</f>
        <v>51.772794378698222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9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16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7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5961-EB6D-4767-BA20-A95ABFD08149}">
  <dimension ref="A1:E54"/>
  <sheetViews>
    <sheetView workbookViewId="0">
      <selection activeCell="B7" sqref="B7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111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1601</v>
      </c>
      <c r="C2" s="4">
        <v>222.54</v>
      </c>
      <c r="D2" s="4">
        <f>C2*B2</f>
        <v>356286.54</v>
      </c>
      <c r="E2" s="5"/>
    </row>
    <row r="3" spans="1:5" x14ac:dyDescent="0.35">
      <c r="A3" s="3" t="s">
        <v>7</v>
      </c>
      <c r="B3" s="4">
        <v>1648</v>
      </c>
      <c r="C3" s="4">
        <v>222.54</v>
      </c>
      <c r="D3" s="4">
        <f>C3*B3</f>
        <v>366745.92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0.75</v>
      </c>
      <c r="C7" s="6"/>
      <c r="D7" s="7"/>
      <c r="E7" s="5"/>
    </row>
    <row r="8" spans="1:5" x14ac:dyDescent="0.35">
      <c r="A8" s="3" t="s">
        <v>104</v>
      </c>
      <c r="B8" s="6">
        <v>1513</v>
      </c>
      <c r="C8" s="6">
        <v>95</v>
      </c>
      <c r="D8" s="7"/>
      <c r="E8" s="9">
        <f>C8*B8</f>
        <v>143735</v>
      </c>
    </row>
    <row r="9" spans="1:5" x14ac:dyDescent="0.35">
      <c r="A9" s="3"/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/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143735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1648</v>
      </c>
      <c r="C16" s="6">
        <v>50.53</v>
      </c>
      <c r="D16" s="7"/>
      <c r="E16" s="11">
        <f>C16*B16</f>
        <v>83273.440000000002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1694</v>
      </c>
      <c r="C19" s="13">
        <v>0.67</v>
      </c>
      <c r="D19" s="7"/>
      <c r="E19" s="9">
        <f t="shared" ref="E19:E34" si="0">C19*B19</f>
        <v>1134.98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1700</v>
      </c>
      <c r="C21" s="13">
        <v>0.39</v>
      </c>
      <c r="D21" s="7"/>
      <c r="E21" s="9">
        <f t="shared" si="0"/>
        <v>663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1700</v>
      </c>
      <c r="C25" s="13">
        <v>3.1</v>
      </c>
      <c r="D25" s="7"/>
      <c r="E25" s="9">
        <f t="shared" si="0"/>
        <v>5270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1648</v>
      </c>
      <c r="C28" s="13">
        <v>1.95</v>
      </c>
      <c r="D28" s="7"/>
      <c r="E28" s="9">
        <f t="shared" si="0"/>
        <v>3213.6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62</v>
      </c>
      <c r="D30" s="7"/>
      <c r="E30" s="9">
        <f t="shared" si="0"/>
        <v>2790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13071.58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240080.02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145.67962378640777</v>
      </c>
    </row>
    <row r="39" spans="1:5" x14ac:dyDescent="0.35">
      <c r="A39" s="14" t="s">
        <v>40</v>
      </c>
      <c r="B39" s="15"/>
      <c r="C39" s="16"/>
      <c r="D39" s="17"/>
      <c r="E39" s="18">
        <f>D3-E37</f>
        <v>126665.9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34.537780270329925</v>
      </c>
      <c r="E41" s="28">
        <f>C3-E38</f>
        <v>76.860376213592218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177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25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18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0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658A-6EC6-40A3-9B5E-91D10F4F28A0}">
  <dimension ref="A1:E54"/>
  <sheetViews>
    <sheetView topLeftCell="A2" workbookViewId="0">
      <selection activeCell="F19" sqref="F19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ht="22.5" customHeight="1" x14ac:dyDescent="0.35">
      <c r="A1" s="1" t="s">
        <v>112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263.67</v>
      </c>
      <c r="D2" s="4">
        <f>C2*B2</f>
        <v>527340</v>
      </c>
      <c r="E2" s="5"/>
    </row>
    <row r="3" spans="1:5" x14ac:dyDescent="0.35">
      <c r="A3" s="3" t="s">
        <v>7</v>
      </c>
      <c r="B3" s="4">
        <v>2051</v>
      </c>
      <c r="C3" s="4">
        <v>263.67</v>
      </c>
      <c r="D3" s="4">
        <f>C3*B3</f>
        <v>540787.17000000004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1.35</v>
      </c>
      <c r="C7" s="6"/>
      <c r="D7" s="7"/>
      <c r="E7" s="5"/>
    </row>
    <row r="8" spans="1:5" x14ac:dyDescent="0.35">
      <c r="A8" s="3" t="s">
        <v>99</v>
      </c>
      <c r="B8" s="6">
        <v>3200</v>
      </c>
      <c r="C8" s="6">
        <v>74.05</v>
      </c>
      <c r="D8" s="7"/>
      <c r="E8" s="9">
        <f>C8*B8</f>
        <v>236960</v>
      </c>
    </row>
    <row r="9" spans="1:5" x14ac:dyDescent="0.35">
      <c r="A9" s="3" t="s">
        <v>97</v>
      </c>
      <c r="B9" s="6">
        <v>2100</v>
      </c>
      <c r="C9" s="6">
        <v>5.5</v>
      </c>
      <c r="D9" s="7"/>
      <c r="E9" s="9">
        <f>C9*B9</f>
        <v>11550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248510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2051</v>
      </c>
      <c r="C16" s="6">
        <v>64.58</v>
      </c>
      <c r="D16" s="7"/>
      <c r="E16" s="11">
        <f>C16*B16</f>
        <v>132453.57999999999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2094</v>
      </c>
      <c r="C19" s="13">
        <v>0.67</v>
      </c>
      <c r="D19" s="7"/>
      <c r="E19" s="9">
        <f t="shared" ref="E19:E34" si="0">C19*B19</f>
        <v>1402.98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2100</v>
      </c>
      <c r="C21" s="13">
        <v>0.39</v>
      </c>
      <c r="D21" s="7"/>
      <c r="E21" s="9">
        <f t="shared" si="0"/>
        <v>819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2100</v>
      </c>
      <c r="C25" s="13">
        <v>3.1</v>
      </c>
      <c r="D25" s="7"/>
      <c r="E25" s="9">
        <f t="shared" si="0"/>
        <v>6510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2051</v>
      </c>
      <c r="C28" s="13">
        <v>1.95</v>
      </c>
      <c r="D28" s="7"/>
      <c r="E28" s="9">
        <f t="shared" si="0"/>
        <v>3999.45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50</v>
      </c>
      <c r="C30" s="6">
        <v>62</v>
      </c>
      <c r="D30" s="7"/>
      <c r="E30" s="9">
        <f t="shared" si="0"/>
        <v>3100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15831.43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396795.01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193.464168698196</v>
      </c>
    </row>
    <row r="39" spans="1:5" x14ac:dyDescent="0.35">
      <c r="A39" s="14" t="s">
        <v>40</v>
      </c>
      <c r="B39" s="15"/>
      <c r="C39" s="16"/>
      <c r="D39" s="17"/>
      <c r="E39" s="18">
        <f>D3-E37</f>
        <v>143992.16000000003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26.626400918498124</v>
      </c>
      <c r="E41" s="28">
        <f>C3-E38</f>
        <v>70.205831301804011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230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33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9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28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017A-109D-48AD-A658-4E8F8BB9768A}">
  <dimension ref="A1:E54"/>
  <sheetViews>
    <sheetView tabSelected="1" workbookViewId="0">
      <selection activeCell="F27" sqref="F27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113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2199</v>
      </c>
      <c r="C2" s="4">
        <v>226.42</v>
      </c>
      <c r="D2" s="4">
        <f>C2*B2</f>
        <v>497897.57999999996</v>
      </c>
      <c r="E2" s="5"/>
    </row>
    <row r="3" spans="1:5" x14ac:dyDescent="0.35">
      <c r="A3" s="3" t="s">
        <v>7</v>
      </c>
      <c r="B3" s="4">
        <v>2233</v>
      </c>
      <c r="C3" s="4">
        <v>226.42</v>
      </c>
      <c r="D3" s="4">
        <f>C3*B3</f>
        <v>505595.86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1.33</v>
      </c>
      <c r="C7" s="6"/>
      <c r="D7" s="7"/>
      <c r="E7" s="5"/>
    </row>
    <row r="8" spans="1:5" x14ac:dyDescent="0.35">
      <c r="A8" s="3" t="s">
        <v>99</v>
      </c>
      <c r="B8" s="6">
        <v>3480</v>
      </c>
      <c r="C8" s="6">
        <v>66.599999999999994</v>
      </c>
      <c r="D8" s="7"/>
      <c r="E8" s="9">
        <f>C8*B8</f>
        <v>231767.99999999997</v>
      </c>
    </row>
    <row r="9" spans="1:5" x14ac:dyDescent="0.35">
      <c r="A9" s="3" t="s">
        <v>97</v>
      </c>
      <c r="B9" s="6">
        <v>2250</v>
      </c>
      <c r="C9" s="6">
        <v>8</v>
      </c>
      <c r="D9" s="7"/>
      <c r="E9" s="9">
        <f>C9*B9</f>
        <v>18000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249767.99999999997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2233</v>
      </c>
      <c r="C16" s="6">
        <v>52.85</v>
      </c>
      <c r="D16" s="7"/>
      <c r="E16" s="11">
        <f>C16*B16</f>
        <v>118014.05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2250</v>
      </c>
      <c r="C19" s="13">
        <v>0.67</v>
      </c>
      <c r="D19" s="7"/>
      <c r="E19" s="9">
        <f t="shared" ref="E19:E34" si="0">C19*B19</f>
        <v>1507.5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2250</v>
      </c>
      <c r="C21" s="13">
        <v>0.39</v>
      </c>
      <c r="D21" s="7"/>
      <c r="E21" s="9">
        <f t="shared" si="0"/>
        <v>877.5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2250</v>
      </c>
      <c r="C25" s="13">
        <v>3.1</v>
      </c>
      <c r="D25" s="7"/>
      <c r="E25" s="9">
        <f t="shared" si="0"/>
        <v>6975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2233</v>
      </c>
      <c r="C28" s="13">
        <v>1.95</v>
      </c>
      <c r="D28" s="7"/>
      <c r="E28" s="9">
        <f t="shared" si="0"/>
        <v>4354.3499999999995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48</v>
      </c>
      <c r="C30" s="6">
        <v>67</v>
      </c>
      <c r="D30" s="7"/>
      <c r="E30" s="9">
        <f t="shared" si="0"/>
        <v>3216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16930.349999999999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384712.39999999997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172.28499776085982</v>
      </c>
    </row>
    <row r="39" spans="1:5" x14ac:dyDescent="0.35">
      <c r="A39" s="14" t="s">
        <v>40</v>
      </c>
      <c r="B39" s="15"/>
      <c r="C39" s="16"/>
      <c r="D39" s="17"/>
      <c r="E39" s="18">
        <f>D3-E37</f>
        <v>120883.46000000002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23.909107958281147</v>
      </c>
      <c r="E41" s="28">
        <f>C3-E38</f>
        <v>54.135002239140164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40</v>
      </c>
      <c r="D44" s="36"/>
      <c r="E44" s="9">
        <f>B44*C44</f>
        <v>0</v>
      </c>
    </row>
    <row r="45" spans="1:5" x14ac:dyDescent="0.35">
      <c r="A45" s="3" t="s">
        <v>45</v>
      </c>
      <c r="B45" s="37">
        <v>61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>
        <v>3</v>
      </c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78290</vt:lpstr>
      <vt:lpstr>79062</vt:lpstr>
      <vt:lpstr>65440</vt:lpstr>
      <vt:lpstr>68119</vt:lpstr>
      <vt:lpstr>65424</vt:lpstr>
      <vt:lpstr>65432</vt:lpstr>
      <vt:lpstr>1714</vt:lpstr>
      <vt:lpstr>74643</vt:lpstr>
      <vt:lpstr>71429</vt:lpstr>
      <vt:lpstr>72145</vt:lpstr>
      <vt:lpstr>71447</vt:lpstr>
      <vt:lpstr>0556</vt:lpstr>
      <vt:lpstr>0557</vt:lpstr>
      <vt:lpstr>67762</vt:lpstr>
      <vt:lpstr>2825</vt:lpstr>
      <vt:lpstr>2397</vt:lpstr>
      <vt:lpstr>3113</vt:lpstr>
      <vt:lpstr>2220</vt:lpstr>
      <vt:lpstr>1851</vt:lpstr>
      <vt:lpstr>2358</vt:lpstr>
      <vt:lpstr>2355</vt:lpstr>
      <vt:lpstr>2349</vt:lpstr>
      <vt:lpstr>2394</vt:lpstr>
      <vt:lpstr>2388</vt:lpstr>
      <vt:lpstr>2395</vt:lpstr>
      <vt:lpstr>2386</vt:lpstr>
      <vt:lpstr>2362</vt:lpstr>
      <vt:lpstr>2083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2026-09-01T08:00:01Z</dcterms:created>
  <dcterms:modified xsi:type="dcterms:W3CDTF">2026-09-29T13:20:05Z</dcterms:modified>
</cp:coreProperties>
</file>